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2.xml" ContentType="application/vnd.openxmlformats-officedocument.drawing+xml"/>
  <Override PartName="/xl/ctrlProps/ctrlProp10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600" windowHeight="11460"/>
  </bookViews>
  <sheets>
    <sheet name="Questionnaire" sheetId="2" r:id="rId1"/>
    <sheet name="Results" sheetId="4" r:id="rId2"/>
    <sheet name="lookup" sheetId="3" state="veryHidden" r:id="rId3"/>
  </sheets>
  <definedNames>
    <definedName name="drop_comp">lookup!$L$2:$M$4</definedName>
    <definedName name="p_cp">lookup!$B$15:$C$18</definedName>
    <definedName name="p_ep">lookup!$B$9:$C$12</definedName>
    <definedName name="p_hy">lookup!$B$21:$C$24</definedName>
    <definedName name="p_im">lookup!$B$39:$C$42</definedName>
    <definedName name="p_pp">lookup!$B$27:$C$30</definedName>
    <definedName name="p_pr">lookup!$B$33:$C$36</definedName>
    <definedName name="p_td">lookup!$B$3:$C$6</definedName>
    <definedName name="s_cp">lookup!$H$15:$I$18</definedName>
    <definedName name="s_ep">lookup!$H$9:$I$12</definedName>
    <definedName name="s_hy">lookup!$H$21:$I$24</definedName>
    <definedName name="s_im">lookup!$H$39:$I$42</definedName>
    <definedName name="s_pp">lookup!$H$27:$I$30</definedName>
    <definedName name="s_pr">lookup!$H$33:$I$36</definedName>
    <definedName name="s_td">lookup!$H$3:$I$6</definedName>
    <definedName name="t_cp">lookup!$E$15:$F$18</definedName>
    <definedName name="t_ep">lookup!$E$9:$F$12</definedName>
    <definedName name="t_hy">lookup!$E$21:$F$24</definedName>
    <definedName name="t_im">lookup!$E$39:$F$42</definedName>
    <definedName name="t_pp">lookup!$E$27:$F$30</definedName>
    <definedName name="t_pr">lookup!$E$33:$F$36</definedName>
    <definedName name="t_td">lookup!$E$3:$F$6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8" i="2" l="1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" i="2"/>
  <c r="I33" i="2" l="1"/>
  <c r="H33" i="2"/>
  <c r="H31" i="2"/>
  <c r="I30" i="2"/>
  <c r="H30" i="2"/>
  <c r="H32" i="2"/>
  <c r="I31" i="2"/>
  <c r="D4" i="4" s="1"/>
  <c r="I34" i="2"/>
  <c r="I32" i="2"/>
  <c r="H34" i="2"/>
  <c r="F4" i="4"/>
  <c r="D2" i="4" l="1"/>
  <c r="D6" i="4"/>
  <c r="D10" i="4"/>
  <c r="D8" i="4"/>
  <c r="F2" i="4"/>
  <c r="F6" i="4"/>
  <c r="F10" i="4"/>
  <c r="F8" i="4"/>
  <c r="D14" i="4" l="1"/>
  <c r="F14" i="4"/>
</calcChain>
</file>

<file path=xl/sharedStrings.xml><?xml version="1.0" encoding="utf-8"?>
<sst xmlns="http://schemas.openxmlformats.org/spreadsheetml/2006/main" count="154" uniqueCount="117">
  <si>
    <t>Considerate of other people's feelings</t>
  </si>
  <si>
    <t>Restless, overactive, cannot stay still for long</t>
  </si>
  <si>
    <t>Often complains of headaches, stomach-aches or sickness</t>
  </si>
  <si>
    <t>Shares readily with other children (treats, toys, pencils etc.)</t>
  </si>
  <si>
    <t>Often has temper tantrums or hot tempers</t>
  </si>
  <si>
    <t>Rather solitary, tends to play alone</t>
  </si>
  <si>
    <t>Generally obedient, usually does what adults request</t>
  </si>
  <si>
    <t>Many worries, often seems worried</t>
  </si>
  <si>
    <t>Helpful if someone is hurt, upset or feeling ill</t>
  </si>
  <si>
    <t>Constantly fidgeting or squirming</t>
  </si>
  <si>
    <t>Has at least one good friend</t>
  </si>
  <si>
    <t>Often fights with other children or bullies them</t>
  </si>
  <si>
    <t>Often unhappy, down-hearted or tearful</t>
  </si>
  <si>
    <t>Generally liked by other children</t>
  </si>
  <si>
    <t>Easily distracted, concentration wanders</t>
  </si>
  <si>
    <t>Nervous or clingy in new situations, easily loses confidence</t>
  </si>
  <si>
    <t>Kind to younger children</t>
  </si>
  <si>
    <t>Often lies or cheats</t>
  </si>
  <si>
    <t>Picked on or bullied by other children</t>
  </si>
  <si>
    <t>Often volunteers to help others (parents, teachers, other children)</t>
  </si>
  <si>
    <t>Thinks things out before acting</t>
  </si>
  <si>
    <t>Steals from home, school or elsewhere</t>
  </si>
  <si>
    <t>Gets on better with adults than with other children</t>
  </si>
  <si>
    <t>Many fears, easily scared</t>
  </si>
  <si>
    <t>Sees tasks through to the end, good attention span</t>
  </si>
  <si>
    <t>Not true</t>
  </si>
  <si>
    <t>Somewhat true</t>
  </si>
  <si>
    <t>Certainly true</t>
  </si>
  <si>
    <t>Parent  - Total Difficulties</t>
  </si>
  <si>
    <t>Parent  - Emotional Problems</t>
  </si>
  <si>
    <t>Parent  - Conduct Problems</t>
  </si>
  <si>
    <t>Parent  - Hyperactivity</t>
  </si>
  <si>
    <t>Parent  - Peer Problems</t>
  </si>
  <si>
    <t>Parent  - Prosocial</t>
  </si>
  <si>
    <t>Parent  - Impact</t>
  </si>
  <si>
    <t>Teacher  - Total Difficulties</t>
  </si>
  <si>
    <t>Teacher  - Emotional Problems</t>
  </si>
  <si>
    <t>Teacher  - Conduct Problems</t>
  </si>
  <si>
    <t>Teacher  - Hyperactivity</t>
  </si>
  <si>
    <t>Teacher  - Peer Problems</t>
  </si>
  <si>
    <t>Teacher  - Prosocial</t>
  </si>
  <si>
    <t>Teacher  - Impact</t>
  </si>
  <si>
    <t>Self-completed  - Total Difficulties</t>
  </si>
  <si>
    <t>Self-completed  - Emotional Problems</t>
  </si>
  <si>
    <t>Self-completed  - Conduct Problems</t>
  </si>
  <si>
    <t>Self-completed  - Hyperactivity</t>
  </si>
  <si>
    <t>Self-completed  - Peer Problems</t>
  </si>
  <si>
    <t>Self-completed  - Prosocial</t>
  </si>
  <si>
    <t>Self-completed  - Impact</t>
  </si>
  <si>
    <t>p</t>
  </si>
  <si>
    <t>ep</t>
  </si>
  <si>
    <t>cp</t>
  </si>
  <si>
    <t>hy</t>
  </si>
  <si>
    <t>pp</t>
  </si>
  <si>
    <t>pr</t>
  </si>
  <si>
    <t>td</t>
  </si>
  <si>
    <t>0 to 13 is CLOSE TO AVERAGE</t>
  </si>
  <si>
    <t>0 to 11 is CLOSE TO AVERAGE</t>
  </si>
  <si>
    <t>0 to 14 is CLOSE TO AVERAGE</t>
  </si>
  <si>
    <t>14 to 16 is SLIGHTLY RAISED</t>
  </si>
  <si>
    <t>12 to 15 is SLIGHTLY RAISED</t>
  </si>
  <si>
    <t>15 to 17 is SLIGHTLY RAISED</t>
  </si>
  <si>
    <t>17 to 19 is HIGH</t>
  </si>
  <si>
    <t>16 to 18 is HIGH</t>
  </si>
  <si>
    <t>18 to 19 is HIGH</t>
  </si>
  <si>
    <t>20 to 40 is VERY HIGH</t>
  </si>
  <si>
    <t>19 to 40 is VERY HIGH</t>
  </si>
  <si>
    <t>0 to 3 is CLOSE TO AVERAGE</t>
  </si>
  <si>
    <t>0 to 4 is CLOSE TO AVERAGE</t>
  </si>
  <si>
    <t>5 to 6 is HIGH</t>
  </si>
  <si>
    <t>7 to 10 is VERY HIGH</t>
  </si>
  <si>
    <t>6 to 10 is VERY HIGH</t>
  </si>
  <si>
    <t>0 to 2 is CLOSE TO AVERAGE</t>
  </si>
  <si>
    <t>4 to 5 is HIGH</t>
  </si>
  <si>
    <t>5 to 10 is VERY HIGH</t>
  </si>
  <si>
    <t>0 to 5 is CLOSE TO AVERAGE</t>
  </si>
  <si>
    <t>6 to 7 is SLIGHTLY RAISED</t>
  </si>
  <si>
    <t>9 to 10 is VERY HIGH</t>
  </si>
  <si>
    <t>8 to 10 is VERY HIGH</t>
  </si>
  <si>
    <t>3 to 4 is SLIGHTLY RAISED</t>
  </si>
  <si>
    <t>0 to 5 is VERY LOW</t>
  </si>
  <si>
    <t>0 to 3 is VERY LOW</t>
  </si>
  <si>
    <t>0 to 4 is VERY LOW</t>
  </si>
  <si>
    <t>8 to 10 is CLOSE TO AVERAGE</t>
  </si>
  <si>
    <t>6 to 10 is CLOSE TO AVERAGE</t>
  </si>
  <si>
    <t>7 to 10 is CLOSE TO AVERAGE</t>
  </si>
  <si>
    <t>3 to 10 is VERY HIGH</t>
  </si>
  <si>
    <t>3 to 6 is VERY HIGH</t>
  </si>
  <si>
    <t>4 is SLIGHTLY RAISED</t>
  </si>
  <si>
    <t>5 is SLIGHTLY RAISED</t>
  </si>
  <si>
    <t>6 is HIGH</t>
  </si>
  <si>
    <t>5 is HIGH</t>
  </si>
  <si>
    <t>3 is SLIGHTLY RAISED</t>
  </si>
  <si>
    <t>4 is HIGH</t>
  </si>
  <si>
    <t>8 is HIGH</t>
  </si>
  <si>
    <t>7 is HIGH</t>
  </si>
  <si>
    <t>6 is SLIGHTLY RAISED</t>
  </si>
  <si>
    <t>6 is LOW</t>
  </si>
  <si>
    <t>7 is SLIGHTLY LOWERED</t>
  </si>
  <si>
    <t>4 is LOW</t>
  </si>
  <si>
    <t>5 is SLIGHTLY LOWERED</t>
  </si>
  <si>
    <t>5 is LOW</t>
  </si>
  <si>
    <t>6 is SLIGHTLY LOWERED</t>
  </si>
  <si>
    <t>1 is SLIGHTLY RAISED</t>
  </si>
  <si>
    <t>2 is HIGH</t>
  </si>
  <si>
    <t>0 is CLOSE TO AVERAGE</t>
  </si>
  <si>
    <t>Self-completed</t>
  </si>
  <si>
    <t>t</t>
  </si>
  <si>
    <t>s</t>
  </si>
  <si>
    <t>Parent-completed</t>
  </si>
  <si>
    <t>Teacher-completed</t>
  </si>
  <si>
    <t>Overall stress</t>
  </si>
  <si>
    <t>Emotional Distress</t>
  </si>
  <si>
    <t>Behavioural Difficulties</t>
  </si>
  <si>
    <t>Hyperactivity &amp; Concentration Difficulties</t>
  </si>
  <si>
    <t>Difficulties getting along with others</t>
  </si>
  <si>
    <t>Kind and helpful behaviour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</si>
</sst>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7" xfId="0" applyFont="1" applyBorder="1"/>
    <xf numFmtId="0" fontId="0" fillId="0" borderId="8" xfId="0" applyBorder="1"/>
    <xf numFmtId="0" fontId="0" fillId="0" borderId="8" xfId="0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G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G$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fmlaLink="$G$4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fmlaLink="$G$5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fmlaLink="$G$6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Radio" firstButton="1" fmlaLink="$G$7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fmlaLink="$G$8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$G$9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Radio" firstButton="1" fmlaLink="$G$10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$G$11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Radio" firstButton="1" fmlaLink="$G$12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Radio" firstButton="1" fmlaLink="$G$1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Radio" firstButton="1" fmlaLink="$G$14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Radio" firstButton="1" fmlaLink="$G$15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Radio" firstButton="1" fmlaLink="$G$16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Radio" firstButton="1" fmlaLink="$G$17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Radio" firstButton="1" fmlaLink="$G$18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Radio" firstButton="1" fmlaLink="$G$19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Radio" firstButton="1" fmlaLink="$G$20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Radio" firstButton="1" fmlaLink="$G$21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Radio" firstButton="1" fmlaLink="$G$22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Radio" firstButton="1" fmlaLink="$G$23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Radio" firstButton="1" fmlaLink="$G$24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Radio" firstButton="1" fmlaLink="$G$25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Radio" firstButton="1" fmlaLink="$G$26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Drop" dropStyle="combo" dx="16" fmlaLink="Questionnaire!$J$28" fmlaRange="lookup!$K$2:$K$4" noThreeD="1" sel="2" val="0"/>
</file>

<file path=xl/ctrlProps/ctrlProp10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19050</xdr:rowOff>
        </xdr:from>
        <xdr:to>
          <xdr:col>4</xdr:col>
          <xdr:colOff>742950</xdr:colOff>
          <xdr:row>1</xdr:row>
          <xdr:rowOff>219075</xdr:rowOff>
        </xdr:to>
        <xdr:sp macro="" textlink="">
          <xdr:nvSpPr>
            <xdr:cNvPr id="2277" name="Group Box 229" hidden="1">
              <a:extLst>
                <a:ext uri="{63B3BB69-23CF-44E3-9099-C40C66FF867C}">
                  <a14:compatExt spid="_x0000_s2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</xdr:row>
          <xdr:rowOff>19050</xdr:rowOff>
        </xdr:from>
        <xdr:to>
          <xdr:col>2</xdr:col>
          <xdr:colOff>561975</xdr:colOff>
          <xdr:row>1</xdr:row>
          <xdr:rowOff>200025</xdr:rowOff>
        </xdr:to>
        <xdr:sp macro="" textlink="">
          <xdr:nvSpPr>
            <xdr:cNvPr id="2278" name="Option Button 230" hidden="1">
              <a:extLst>
                <a:ext uri="{63B3BB69-23CF-44E3-9099-C40C66FF867C}">
                  <a14:compatExt spid="_x0000_s2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28575</xdr:rowOff>
        </xdr:from>
        <xdr:to>
          <xdr:col>3</xdr:col>
          <xdr:colOff>561975</xdr:colOff>
          <xdr:row>1</xdr:row>
          <xdr:rowOff>209550</xdr:rowOff>
        </xdr:to>
        <xdr:sp macro="" textlink="">
          <xdr:nvSpPr>
            <xdr:cNvPr id="2279" name="Option Button 231" hidden="1">
              <a:extLst>
                <a:ext uri="{63B3BB69-23CF-44E3-9099-C40C66FF867C}">
                  <a14:compatExt spid="_x0000_s2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</xdr:row>
          <xdr:rowOff>19050</xdr:rowOff>
        </xdr:from>
        <xdr:to>
          <xdr:col>4</xdr:col>
          <xdr:colOff>552450</xdr:colOff>
          <xdr:row>1</xdr:row>
          <xdr:rowOff>200025</xdr:rowOff>
        </xdr:to>
        <xdr:sp macro="" textlink="">
          <xdr:nvSpPr>
            <xdr:cNvPr id="2280" name="Option Button 232" hidden="1">
              <a:extLst>
                <a:ext uri="{63B3BB69-23CF-44E3-9099-C40C66FF867C}">
                  <a14:compatExt spid="_x0000_s2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19050</xdr:rowOff>
        </xdr:from>
        <xdr:to>
          <xdr:col>4</xdr:col>
          <xdr:colOff>742950</xdr:colOff>
          <xdr:row>2</xdr:row>
          <xdr:rowOff>219075</xdr:rowOff>
        </xdr:to>
        <xdr:sp macro="" textlink="">
          <xdr:nvSpPr>
            <xdr:cNvPr id="2281" name="Group Box 233" hidden="1">
              <a:extLst>
                <a:ext uri="{63B3BB69-23CF-44E3-9099-C40C66FF867C}">
                  <a14:compatExt spid="_x0000_s2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</xdr:row>
          <xdr:rowOff>19050</xdr:rowOff>
        </xdr:from>
        <xdr:to>
          <xdr:col>2</xdr:col>
          <xdr:colOff>561975</xdr:colOff>
          <xdr:row>2</xdr:row>
          <xdr:rowOff>200025</xdr:rowOff>
        </xdr:to>
        <xdr:sp macro="" textlink="">
          <xdr:nvSpPr>
            <xdr:cNvPr id="2282" name="Option Button 234" hidden="1">
              <a:extLst>
                <a:ext uri="{63B3BB69-23CF-44E3-9099-C40C66FF867C}">
                  <a14:compatExt spid="_x0000_s2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</xdr:row>
          <xdr:rowOff>28575</xdr:rowOff>
        </xdr:from>
        <xdr:to>
          <xdr:col>3</xdr:col>
          <xdr:colOff>561975</xdr:colOff>
          <xdr:row>2</xdr:row>
          <xdr:rowOff>209550</xdr:rowOff>
        </xdr:to>
        <xdr:sp macro="" textlink="">
          <xdr:nvSpPr>
            <xdr:cNvPr id="2283" name="Option Button 235" hidden="1">
              <a:extLst>
                <a:ext uri="{63B3BB69-23CF-44E3-9099-C40C66FF867C}">
                  <a14:compatExt spid="_x0000_s2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</xdr:row>
          <xdr:rowOff>19050</xdr:rowOff>
        </xdr:from>
        <xdr:to>
          <xdr:col>4</xdr:col>
          <xdr:colOff>552450</xdr:colOff>
          <xdr:row>2</xdr:row>
          <xdr:rowOff>200025</xdr:rowOff>
        </xdr:to>
        <xdr:sp macro="" textlink="">
          <xdr:nvSpPr>
            <xdr:cNvPr id="2284" name="Option Button 236" hidden="1">
              <a:extLst>
                <a:ext uri="{63B3BB69-23CF-44E3-9099-C40C66FF867C}">
                  <a14:compatExt spid="_x0000_s2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19050</xdr:rowOff>
        </xdr:from>
        <xdr:to>
          <xdr:col>4</xdr:col>
          <xdr:colOff>742950</xdr:colOff>
          <xdr:row>3</xdr:row>
          <xdr:rowOff>219075</xdr:rowOff>
        </xdr:to>
        <xdr:sp macro="" textlink="">
          <xdr:nvSpPr>
            <xdr:cNvPr id="2285" name="Group Box 237" hidden="1">
              <a:extLst>
                <a:ext uri="{63B3BB69-23CF-44E3-9099-C40C66FF867C}">
                  <a14:compatExt spid="_x0000_s2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</xdr:row>
          <xdr:rowOff>19050</xdr:rowOff>
        </xdr:from>
        <xdr:to>
          <xdr:col>2</xdr:col>
          <xdr:colOff>561975</xdr:colOff>
          <xdr:row>3</xdr:row>
          <xdr:rowOff>200025</xdr:rowOff>
        </xdr:to>
        <xdr:sp macro="" textlink="">
          <xdr:nvSpPr>
            <xdr:cNvPr id="2286" name="Option Button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28575</xdr:rowOff>
        </xdr:from>
        <xdr:to>
          <xdr:col>3</xdr:col>
          <xdr:colOff>561975</xdr:colOff>
          <xdr:row>3</xdr:row>
          <xdr:rowOff>209550</xdr:rowOff>
        </xdr:to>
        <xdr:sp macro="" textlink="">
          <xdr:nvSpPr>
            <xdr:cNvPr id="2287" name="Option Button 239" hidden="1">
              <a:extLst>
                <a:ext uri="{63B3BB69-23CF-44E3-9099-C40C66FF867C}">
                  <a14:compatExt spid="_x0000_s2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</xdr:row>
          <xdr:rowOff>19050</xdr:rowOff>
        </xdr:from>
        <xdr:to>
          <xdr:col>4</xdr:col>
          <xdr:colOff>552450</xdr:colOff>
          <xdr:row>3</xdr:row>
          <xdr:rowOff>200025</xdr:rowOff>
        </xdr:to>
        <xdr:sp macro="" textlink="">
          <xdr:nvSpPr>
            <xdr:cNvPr id="2288" name="Option Button 240" hidden="1">
              <a:extLst>
                <a:ext uri="{63B3BB69-23CF-44E3-9099-C40C66FF867C}">
                  <a14:compatExt spid="_x0000_s2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19050</xdr:rowOff>
        </xdr:from>
        <xdr:to>
          <xdr:col>4</xdr:col>
          <xdr:colOff>742950</xdr:colOff>
          <xdr:row>4</xdr:row>
          <xdr:rowOff>219075</xdr:rowOff>
        </xdr:to>
        <xdr:sp macro="" textlink="">
          <xdr:nvSpPr>
            <xdr:cNvPr id="2289" name="Group Box 241" hidden="1">
              <a:extLst>
                <a:ext uri="{63B3BB69-23CF-44E3-9099-C40C66FF867C}">
                  <a14:compatExt spid="_x0000_s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4</xdr:row>
          <xdr:rowOff>19050</xdr:rowOff>
        </xdr:from>
        <xdr:to>
          <xdr:col>2</xdr:col>
          <xdr:colOff>561975</xdr:colOff>
          <xdr:row>4</xdr:row>
          <xdr:rowOff>200025</xdr:rowOff>
        </xdr:to>
        <xdr:sp macro="" textlink="">
          <xdr:nvSpPr>
            <xdr:cNvPr id="2290" name="Option Button 242" hidden="1">
              <a:extLst>
                <a:ext uri="{63B3BB69-23CF-44E3-9099-C40C66FF867C}">
                  <a14:compatExt spid="_x0000_s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28575</xdr:rowOff>
        </xdr:from>
        <xdr:to>
          <xdr:col>3</xdr:col>
          <xdr:colOff>561975</xdr:colOff>
          <xdr:row>4</xdr:row>
          <xdr:rowOff>209550</xdr:rowOff>
        </xdr:to>
        <xdr:sp macro="" textlink="">
          <xdr:nvSpPr>
            <xdr:cNvPr id="2291" name="Option Button 243" hidden="1">
              <a:extLst>
                <a:ext uri="{63B3BB69-23CF-44E3-9099-C40C66FF867C}">
                  <a14:compatExt spid="_x0000_s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</xdr:row>
          <xdr:rowOff>19050</xdr:rowOff>
        </xdr:from>
        <xdr:to>
          <xdr:col>4</xdr:col>
          <xdr:colOff>552450</xdr:colOff>
          <xdr:row>4</xdr:row>
          <xdr:rowOff>200025</xdr:rowOff>
        </xdr:to>
        <xdr:sp macro="" textlink="">
          <xdr:nvSpPr>
            <xdr:cNvPr id="2292" name="Option Button 244" hidden="1">
              <a:extLst>
                <a:ext uri="{63B3BB69-23CF-44E3-9099-C40C66FF867C}">
                  <a14:compatExt spid="_x0000_s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19050</xdr:rowOff>
        </xdr:from>
        <xdr:to>
          <xdr:col>4</xdr:col>
          <xdr:colOff>742950</xdr:colOff>
          <xdr:row>5</xdr:row>
          <xdr:rowOff>219075</xdr:rowOff>
        </xdr:to>
        <xdr:sp macro="" textlink="">
          <xdr:nvSpPr>
            <xdr:cNvPr id="2293" name="Group Box 245" hidden="1">
              <a:extLst>
                <a:ext uri="{63B3BB69-23CF-44E3-9099-C40C66FF867C}">
                  <a14:compatExt spid="_x0000_s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5</xdr:row>
          <xdr:rowOff>19050</xdr:rowOff>
        </xdr:from>
        <xdr:to>
          <xdr:col>2</xdr:col>
          <xdr:colOff>561975</xdr:colOff>
          <xdr:row>5</xdr:row>
          <xdr:rowOff>200025</xdr:rowOff>
        </xdr:to>
        <xdr:sp macro="" textlink="">
          <xdr:nvSpPr>
            <xdr:cNvPr id="2294" name="Option Button 246" hidden="1">
              <a:extLst>
                <a:ext uri="{63B3BB69-23CF-44E3-9099-C40C66FF867C}">
                  <a14:compatExt spid="_x0000_s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5</xdr:row>
          <xdr:rowOff>28575</xdr:rowOff>
        </xdr:from>
        <xdr:to>
          <xdr:col>3</xdr:col>
          <xdr:colOff>561975</xdr:colOff>
          <xdr:row>5</xdr:row>
          <xdr:rowOff>209550</xdr:rowOff>
        </xdr:to>
        <xdr:sp macro="" textlink="">
          <xdr:nvSpPr>
            <xdr:cNvPr id="2295" name="Option Button 247" hidden="1">
              <a:extLst>
                <a:ext uri="{63B3BB69-23CF-44E3-9099-C40C66FF867C}">
                  <a14:compatExt spid="_x0000_s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</xdr:row>
          <xdr:rowOff>19050</xdr:rowOff>
        </xdr:from>
        <xdr:to>
          <xdr:col>4</xdr:col>
          <xdr:colOff>552450</xdr:colOff>
          <xdr:row>5</xdr:row>
          <xdr:rowOff>200025</xdr:rowOff>
        </xdr:to>
        <xdr:sp macro="" textlink="">
          <xdr:nvSpPr>
            <xdr:cNvPr id="2296" name="Option Button 248" hidden="1">
              <a:extLst>
                <a:ext uri="{63B3BB69-23CF-44E3-9099-C40C66FF867C}">
                  <a14:compatExt spid="_x0000_s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742950</xdr:colOff>
          <xdr:row>6</xdr:row>
          <xdr:rowOff>219075</xdr:rowOff>
        </xdr:to>
        <xdr:sp macro="" textlink="">
          <xdr:nvSpPr>
            <xdr:cNvPr id="2297" name="Group Box 249" hidden="1">
              <a:extLst>
                <a:ext uri="{63B3BB69-23CF-44E3-9099-C40C66FF867C}">
                  <a14:compatExt spid="_x0000_s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6</xdr:row>
          <xdr:rowOff>19050</xdr:rowOff>
        </xdr:from>
        <xdr:to>
          <xdr:col>2</xdr:col>
          <xdr:colOff>561975</xdr:colOff>
          <xdr:row>6</xdr:row>
          <xdr:rowOff>200025</xdr:rowOff>
        </xdr:to>
        <xdr:sp macro="" textlink="">
          <xdr:nvSpPr>
            <xdr:cNvPr id="2298" name="Option Button 250" hidden="1">
              <a:extLst>
                <a:ext uri="{63B3BB69-23CF-44E3-9099-C40C66FF867C}">
                  <a14:compatExt spid="_x0000_s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6</xdr:row>
          <xdr:rowOff>28575</xdr:rowOff>
        </xdr:from>
        <xdr:to>
          <xdr:col>3</xdr:col>
          <xdr:colOff>561975</xdr:colOff>
          <xdr:row>6</xdr:row>
          <xdr:rowOff>209550</xdr:rowOff>
        </xdr:to>
        <xdr:sp macro="" textlink="">
          <xdr:nvSpPr>
            <xdr:cNvPr id="2299" name="Option Button 251" hidden="1">
              <a:extLst>
                <a:ext uri="{63B3BB69-23CF-44E3-9099-C40C66FF867C}">
                  <a14:compatExt spid="_x0000_s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</xdr:row>
          <xdr:rowOff>19050</xdr:rowOff>
        </xdr:from>
        <xdr:to>
          <xdr:col>4</xdr:col>
          <xdr:colOff>552450</xdr:colOff>
          <xdr:row>6</xdr:row>
          <xdr:rowOff>200025</xdr:rowOff>
        </xdr:to>
        <xdr:sp macro="" textlink="">
          <xdr:nvSpPr>
            <xdr:cNvPr id="2300" name="Option Button 252" hidden="1">
              <a:extLst>
                <a:ext uri="{63B3BB69-23CF-44E3-9099-C40C66FF867C}">
                  <a14:compatExt spid="_x0000_s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7</xdr:row>
          <xdr:rowOff>19050</xdr:rowOff>
        </xdr:from>
        <xdr:to>
          <xdr:col>4</xdr:col>
          <xdr:colOff>742950</xdr:colOff>
          <xdr:row>7</xdr:row>
          <xdr:rowOff>219075</xdr:rowOff>
        </xdr:to>
        <xdr:sp macro="" textlink="">
          <xdr:nvSpPr>
            <xdr:cNvPr id="2301" name="Group Box 253" hidden="1">
              <a:extLst>
                <a:ext uri="{63B3BB69-23CF-44E3-9099-C40C66FF867C}">
                  <a14:compatExt spid="_x0000_s2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7</xdr:row>
          <xdr:rowOff>19050</xdr:rowOff>
        </xdr:from>
        <xdr:to>
          <xdr:col>2</xdr:col>
          <xdr:colOff>561975</xdr:colOff>
          <xdr:row>7</xdr:row>
          <xdr:rowOff>200025</xdr:rowOff>
        </xdr:to>
        <xdr:sp macro="" textlink="">
          <xdr:nvSpPr>
            <xdr:cNvPr id="2302" name="Option Button 254" hidden="1">
              <a:extLst>
                <a:ext uri="{63B3BB69-23CF-44E3-9099-C40C66FF867C}">
                  <a14:compatExt spid="_x0000_s2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7</xdr:row>
          <xdr:rowOff>28575</xdr:rowOff>
        </xdr:from>
        <xdr:to>
          <xdr:col>3</xdr:col>
          <xdr:colOff>561975</xdr:colOff>
          <xdr:row>7</xdr:row>
          <xdr:rowOff>209550</xdr:rowOff>
        </xdr:to>
        <xdr:sp macro="" textlink="">
          <xdr:nvSpPr>
            <xdr:cNvPr id="2303" name="Option Button 255" hidden="1">
              <a:extLst>
                <a:ext uri="{63B3BB69-23CF-44E3-9099-C40C66FF867C}">
                  <a14:compatExt spid="_x0000_s2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</xdr:row>
          <xdr:rowOff>19050</xdr:rowOff>
        </xdr:from>
        <xdr:to>
          <xdr:col>4</xdr:col>
          <xdr:colOff>552450</xdr:colOff>
          <xdr:row>7</xdr:row>
          <xdr:rowOff>200025</xdr:rowOff>
        </xdr:to>
        <xdr:sp macro="" textlink="">
          <xdr:nvSpPr>
            <xdr:cNvPr id="2304" name="Option Button 256" hidden="1">
              <a:extLst>
                <a:ext uri="{63B3BB69-23CF-44E3-9099-C40C66FF867C}">
                  <a14:compatExt spid="_x0000_s2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19050</xdr:rowOff>
        </xdr:from>
        <xdr:to>
          <xdr:col>4</xdr:col>
          <xdr:colOff>742950</xdr:colOff>
          <xdr:row>8</xdr:row>
          <xdr:rowOff>219075</xdr:rowOff>
        </xdr:to>
        <xdr:sp macro="" textlink="">
          <xdr:nvSpPr>
            <xdr:cNvPr id="2305" name="Group Box 257" hidden="1">
              <a:extLst>
                <a:ext uri="{63B3BB69-23CF-44E3-9099-C40C66FF867C}">
                  <a14:compatExt spid="_x0000_s2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8</xdr:row>
          <xdr:rowOff>19050</xdr:rowOff>
        </xdr:from>
        <xdr:to>
          <xdr:col>2</xdr:col>
          <xdr:colOff>561975</xdr:colOff>
          <xdr:row>8</xdr:row>
          <xdr:rowOff>200025</xdr:rowOff>
        </xdr:to>
        <xdr:sp macro="" textlink="">
          <xdr:nvSpPr>
            <xdr:cNvPr id="2306" name="Option Button 258" hidden="1">
              <a:extLst>
                <a:ext uri="{63B3BB69-23CF-44E3-9099-C40C66FF867C}">
                  <a14:compatExt spid="_x0000_s2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8</xdr:row>
          <xdr:rowOff>28575</xdr:rowOff>
        </xdr:from>
        <xdr:to>
          <xdr:col>3</xdr:col>
          <xdr:colOff>561975</xdr:colOff>
          <xdr:row>8</xdr:row>
          <xdr:rowOff>209550</xdr:rowOff>
        </xdr:to>
        <xdr:sp macro="" textlink="">
          <xdr:nvSpPr>
            <xdr:cNvPr id="2307" name="Option Button 259" hidden="1">
              <a:extLst>
                <a:ext uri="{63B3BB69-23CF-44E3-9099-C40C66FF867C}">
                  <a14:compatExt spid="_x0000_s2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</xdr:row>
          <xdr:rowOff>19050</xdr:rowOff>
        </xdr:from>
        <xdr:to>
          <xdr:col>4</xdr:col>
          <xdr:colOff>552450</xdr:colOff>
          <xdr:row>8</xdr:row>
          <xdr:rowOff>200025</xdr:rowOff>
        </xdr:to>
        <xdr:sp macro="" textlink="">
          <xdr:nvSpPr>
            <xdr:cNvPr id="2308" name="Option Button 260" hidden="1">
              <a:extLst>
                <a:ext uri="{63B3BB69-23CF-44E3-9099-C40C66FF867C}">
                  <a14:compatExt spid="_x0000_s2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4</xdr:col>
          <xdr:colOff>742950</xdr:colOff>
          <xdr:row>9</xdr:row>
          <xdr:rowOff>219075</xdr:rowOff>
        </xdr:to>
        <xdr:sp macro="" textlink="">
          <xdr:nvSpPr>
            <xdr:cNvPr id="2309" name="Group Box 261" hidden="1">
              <a:extLst>
                <a:ext uri="{63B3BB69-23CF-44E3-9099-C40C66FF867C}">
                  <a14:compatExt spid="_x0000_s2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9</xdr:row>
          <xdr:rowOff>19050</xdr:rowOff>
        </xdr:from>
        <xdr:to>
          <xdr:col>2</xdr:col>
          <xdr:colOff>561975</xdr:colOff>
          <xdr:row>9</xdr:row>
          <xdr:rowOff>200025</xdr:rowOff>
        </xdr:to>
        <xdr:sp macro="" textlink="">
          <xdr:nvSpPr>
            <xdr:cNvPr id="2310" name="Option Button 262" hidden="1">
              <a:extLst>
                <a:ext uri="{63B3BB69-23CF-44E3-9099-C40C66FF867C}">
                  <a14:compatExt spid="_x0000_s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9</xdr:row>
          <xdr:rowOff>28575</xdr:rowOff>
        </xdr:from>
        <xdr:to>
          <xdr:col>3</xdr:col>
          <xdr:colOff>561975</xdr:colOff>
          <xdr:row>9</xdr:row>
          <xdr:rowOff>209550</xdr:rowOff>
        </xdr:to>
        <xdr:sp macro="" textlink="">
          <xdr:nvSpPr>
            <xdr:cNvPr id="2311" name="Option Button 263" hidden="1">
              <a:extLst>
                <a:ext uri="{63B3BB69-23CF-44E3-9099-C40C66FF867C}">
                  <a14:compatExt spid="_x0000_s2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</xdr:row>
          <xdr:rowOff>19050</xdr:rowOff>
        </xdr:from>
        <xdr:to>
          <xdr:col>4</xdr:col>
          <xdr:colOff>552450</xdr:colOff>
          <xdr:row>9</xdr:row>
          <xdr:rowOff>200025</xdr:rowOff>
        </xdr:to>
        <xdr:sp macro="" textlink="">
          <xdr:nvSpPr>
            <xdr:cNvPr id="2312" name="Option Button 264" hidden="1">
              <a:extLst>
                <a:ext uri="{63B3BB69-23CF-44E3-9099-C40C66FF867C}">
                  <a14:compatExt spid="_x0000_s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4</xdr:col>
          <xdr:colOff>742950</xdr:colOff>
          <xdr:row>10</xdr:row>
          <xdr:rowOff>219075</xdr:rowOff>
        </xdr:to>
        <xdr:sp macro="" textlink="">
          <xdr:nvSpPr>
            <xdr:cNvPr id="2313" name="Group Box 265" hidden="1">
              <a:extLst>
                <a:ext uri="{63B3BB69-23CF-44E3-9099-C40C66FF867C}">
                  <a14:compatExt spid="_x0000_s2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10</xdr:row>
          <xdr:rowOff>19050</xdr:rowOff>
        </xdr:from>
        <xdr:to>
          <xdr:col>2</xdr:col>
          <xdr:colOff>561975</xdr:colOff>
          <xdr:row>10</xdr:row>
          <xdr:rowOff>200025</xdr:rowOff>
        </xdr:to>
        <xdr:sp macro="" textlink="">
          <xdr:nvSpPr>
            <xdr:cNvPr id="2314" name="Option Button 266" hidden="1">
              <a:extLst>
                <a:ext uri="{63B3BB69-23CF-44E3-9099-C40C66FF867C}">
                  <a14:compatExt spid="_x0000_s2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10</xdr:row>
          <xdr:rowOff>28575</xdr:rowOff>
        </xdr:from>
        <xdr:to>
          <xdr:col>3</xdr:col>
          <xdr:colOff>561975</xdr:colOff>
          <xdr:row>10</xdr:row>
          <xdr:rowOff>209550</xdr:rowOff>
        </xdr:to>
        <xdr:sp macro="" textlink="">
          <xdr:nvSpPr>
            <xdr:cNvPr id="2315" name="Option Button 267" hidden="1">
              <a:extLst>
                <a:ext uri="{63B3BB69-23CF-44E3-9099-C40C66FF867C}">
                  <a14:compatExt spid="_x0000_s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</xdr:row>
          <xdr:rowOff>19050</xdr:rowOff>
        </xdr:from>
        <xdr:to>
          <xdr:col>4</xdr:col>
          <xdr:colOff>552450</xdr:colOff>
          <xdr:row>10</xdr:row>
          <xdr:rowOff>200025</xdr:rowOff>
        </xdr:to>
        <xdr:sp macro="" textlink="">
          <xdr:nvSpPr>
            <xdr:cNvPr id="2316" name="Option Button 268" hidden="1">
              <a:extLst>
                <a:ext uri="{63B3BB69-23CF-44E3-9099-C40C66FF867C}">
                  <a14:compatExt spid="_x0000_s2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19050</xdr:rowOff>
        </xdr:from>
        <xdr:to>
          <xdr:col>4</xdr:col>
          <xdr:colOff>742950</xdr:colOff>
          <xdr:row>11</xdr:row>
          <xdr:rowOff>219075</xdr:rowOff>
        </xdr:to>
        <xdr:sp macro="" textlink="">
          <xdr:nvSpPr>
            <xdr:cNvPr id="2317" name="Group Box 269" hidden="1">
              <a:extLst>
                <a:ext uri="{63B3BB69-23CF-44E3-9099-C40C66FF867C}">
                  <a14:compatExt spid="_x0000_s2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11</xdr:row>
          <xdr:rowOff>19050</xdr:rowOff>
        </xdr:from>
        <xdr:to>
          <xdr:col>2</xdr:col>
          <xdr:colOff>561975</xdr:colOff>
          <xdr:row>11</xdr:row>
          <xdr:rowOff>200025</xdr:rowOff>
        </xdr:to>
        <xdr:sp macro="" textlink="">
          <xdr:nvSpPr>
            <xdr:cNvPr id="2318" name="Option Button 270" hidden="1">
              <a:extLst>
                <a:ext uri="{63B3BB69-23CF-44E3-9099-C40C66FF867C}">
                  <a14:compatExt spid="_x0000_s2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11</xdr:row>
          <xdr:rowOff>28575</xdr:rowOff>
        </xdr:from>
        <xdr:to>
          <xdr:col>3</xdr:col>
          <xdr:colOff>561975</xdr:colOff>
          <xdr:row>11</xdr:row>
          <xdr:rowOff>209550</xdr:rowOff>
        </xdr:to>
        <xdr:sp macro="" textlink="">
          <xdr:nvSpPr>
            <xdr:cNvPr id="2319" name="Option Button 271" hidden="1">
              <a:extLst>
                <a:ext uri="{63B3BB69-23CF-44E3-9099-C40C66FF867C}">
                  <a14:compatExt spid="_x0000_s2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</xdr:row>
          <xdr:rowOff>19050</xdr:rowOff>
        </xdr:from>
        <xdr:to>
          <xdr:col>4</xdr:col>
          <xdr:colOff>552450</xdr:colOff>
          <xdr:row>11</xdr:row>
          <xdr:rowOff>200025</xdr:rowOff>
        </xdr:to>
        <xdr:sp macro="" textlink="">
          <xdr:nvSpPr>
            <xdr:cNvPr id="2320" name="Option Button 272" hidden="1">
              <a:extLst>
                <a:ext uri="{63B3BB69-23CF-44E3-9099-C40C66FF867C}">
                  <a14:compatExt spid="_x0000_s2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12</xdr:row>
          <xdr:rowOff>19050</xdr:rowOff>
        </xdr:from>
        <xdr:to>
          <xdr:col>4</xdr:col>
          <xdr:colOff>742950</xdr:colOff>
          <xdr:row>12</xdr:row>
          <xdr:rowOff>219075</xdr:rowOff>
        </xdr:to>
        <xdr:sp macro="" textlink="">
          <xdr:nvSpPr>
            <xdr:cNvPr id="2321" name="Group Box 273" hidden="1">
              <a:extLst>
                <a:ext uri="{63B3BB69-23CF-44E3-9099-C40C66FF867C}">
                  <a14:compatExt spid="_x0000_s2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12</xdr:row>
          <xdr:rowOff>19050</xdr:rowOff>
        </xdr:from>
        <xdr:to>
          <xdr:col>2</xdr:col>
          <xdr:colOff>561975</xdr:colOff>
          <xdr:row>12</xdr:row>
          <xdr:rowOff>200025</xdr:rowOff>
        </xdr:to>
        <xdr:sp macro="" textlink="">
          <xdr:nvSpPr>
            <xdr:cNvPr id="2322" name="Option Button 274" hidden="1">
              <a:extLst>
                <a:ext uri="{63B3BB69-23CF-44E3-9099-C40C66FF867C}">
                  <a14:compatExt spid="_x0000_s2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12</xdr:row>
          <xdr:rowOff>28575</xdr:rowOff>
        </xdr:from>
        <xdr:to>
          <xdr:col>3</xdr:col>
          <xdr:colOff>561975</xdr:colOff>
          <xdr:row>12</xdr:row>
          <xdr:rowOff>209550</xdr:rowOff>
        </xdr:to>
        <xdr:sp macro="" textlink="">
          <xdr:nvSpPr>
            <xdr:cNvPr id="2323" name="Option 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</xdr:row>
          <xdr:rowOff>19050</xdr:rowOff>
        </xdr:from>
        <xdr:to>
          <xdr:col>4</xdr:col>
          <xdr:colOff>552450</xdr:colOff>
          <xdr:row>12</xdr:row>
          <xdr:rowOff>200025</xdr:rowOff>
        </xdr:to>
        <xdr:sp macro="" textlink="">
          <xdr:nvSpPr>
            <xdr:cNvPr id="2324" name="Option 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19050</xdr:rowOff>
        </xdr:from>
        <xdr:to>
          <xdr:col>4</xdr:col>
          <xdr:colOff>742950</xdr:colOff>
          <xdr:row>13</xdr:row>
          <xdr:rowOff>219075</xdr:rowOff>
        </xdr:to>
        <xdr:sp macro="" textlink="">
          <xdr:nvSpPr>
            <xdr:cNvPr id="2325" name="Group Box 277" hidden="1">
              <a:extLst>
                <a:ext uri="{63B3BB69-23CF-44E3-9099-C40C66FF867C}">
                  <a14:compatExt spid="_x0000_s2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13</xdr:row>
          <xdr:rowOff>19050</xdr:rowOff>
        </xdr:from>
        <xdr:to>
          <xdr:col>2</xdr:col>
          <xdr:colOff>561975</xdr:colOff>
          <xdr:row>13</xdr:row>
          <xdr:rowOff>200025</xdr:rowOff>
        </xdr:to>
        <xdr:sp macro="" textlink="">
          <xdr:nvSpPr>
            <xdr:cNvPr id="2326" name="Option Button 278" hidden="1">
              <a:extLst>
                <a:ext uri="{63B3BB69-23CF-44E3-9099-C40C66FF867C}">
                  <a14:compatExt spid="_x0000_s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13</xdr:row>
          <xdr:rowOff>28575</xdr:rowOff>
        </xdr:from>
        <xdr:to>
          <xdr:col>3</xdr:col>
          <xdr:colOff>561975</xdr:colOff>
          <xdr:row>13</xdr:row>
          <xdr:rowOff>209550</xdr:rowOff>
        </xdr:to>
        <xdr:sp macro="" textlink="">
          <xdr:nvSpPr>
            <xdr:cNvPr id="2327" name="Option Button 279" hidden="1">
              <a:extLst>
                <a:ext uri="{63B3BB69-23CF-44E3-9099-C40C66FF867C}">
                  <a14:compatExt spid="_x0000_s2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</xdr:row>
          <xdr:rowOff>19050</xdr:rowOff>
        </xdr:from>
        <xdr:to>
          <xdr:col>4</xdr:col>
          <xdr:colOff>552450</xdr:colOff>
          <xdr:row>13</xdr:row>
          <xdr:rowOff>200025</xdr:rowOff>
        </xdr:to>
        <xdr:sp macro="" textlink="">
          <xdr:nvSpPr>
            <xdr:cNvPr id="2328" name="Option Button 280" hidden="1">
              <a:extLst>
                <a:ext uri="{63B3BB69-23CF-44E3-9099-C40C66FF867C}">
                  <a14:compatExt spid="_x0000_s2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14</xdr:row>
          <xdr:rowOff>19050</xdr:rowOff>
        </xdr:from>
        <xdr:to>
          <xdr:col>4</xdr:col>
          <xdr:colOff>742950</xdr:colOff>
          <xdr:row>14</xdr:row>
          <xdr:rowOff>219075</xdr:rowOff>
        </xdr:to>
        <xdr:sp macro="" textlink="">
          <xdr:nvSpPr>
            <xdr:cNvPr id="2329" name="Group Box 281" hidden="1">
              <a:extLst>
                <a:ext uri="{63B3BB69-23CF-44E3-9099-C40C66FF867C}">
                  <a14:compatExt spid="_x0000_s2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14</xdr:row>
          <xdr:rowOff>19050</xdr:rowOff>
        </xdr:from>
        <xdr:to>
          <xdr:col>2</xdr:col>
          <xdr:colOff>561975</xdr:colOff>
          <xdr:row>14</xdr:row>
          <xdr:rowOff>200025</xdr:rowOff>
        </xdr:to>
        <xdr:sp macro="" textlink="">
          <xdr:nvSpPr>
            <xdr:cNvPr id="2330" name="Option Button 282" hidden="1">
              <a:extLst>
                <a:ext uri="{63B3BB69-23CF-44E3-9099-C40C66FF867C}">
                  <a14:compatExt spid="_x0000_s2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14</xdr:row>
          <xdr:rowOff>28575</xdr:rowOff>
        </xdr:from>
        <xdr:to>
          <xdr:col>3</xdr:col>
          <xdr:colOff>561975</xdr:colOff>
          <xdr:row>14</xdr:row>
          <xdr:rowOff>209550</xdr:rowOff>
        </xdr:to>
        <xdr:sp macro="" textlink="">
          <xdr:nvSpPr>
            <xdr:cNvPr id="2331" name="Option Button 283" hidden="1">
              <a:extLst>
                <a:ext uri="{63B3BB69-23CF-44E3-9099-C40C66FF867C}">
                  <a14:compatExt spid="_x0000_s2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</xdr:row>
          <xdr:rowOff>19050</xdr:rowOff>
        </xdr:from>
        <xdr:to>
          <xdr:col>4</xdr:col>
          <xdr:colOff>552450</xdr:colOff>
          <xdr:row>14</xdr:row>
          <xdr:rowOff>200025</xdr:rowOff>
        </xdr:to>
        <xdr:sp macro="" textlink="">
          <xdr:nvSpPr>
            <xdr:cNvPr id="2332" name="Option Button 284" hidden="1">
              <a:extLst>
                <a:ext uri="{63B3BB69-23CF-44E3-9099-C40C66FF867C}">
                  <a14:compatExt spid="_x0000_s2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19050</xdr:rowOff>
        </xdr:from>
        <xdr:to>
          <xdr:col>4</xdr:col>
          <xdr:colOff>742950</xdr:colOff>
          <xdr:row>15</xdr:row>
          <xdr:rowOff>219075</xdr:rowOff>
        </xdr:to>
        <xdr:sp macro="" textlink="">
          <xdr:nvSpPr>
            <xdr:cNvPr id="2333" name="Group Box 285" hidden="1">
              <a:extLst>
                <a:ext uri="{63B3BB69-23CF-44E3-9099-C40C66FF867C}">
                  <a14:compatExt spid="_x0000_s2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15</xdr:row>
          <xdr:rowOff>19050</xdr:rowOff>
        </xdr:from>
        <xdr:to>
          <xdr:col>2</xdr:col>
          <xdr:colOff>561975</xdr:colOff>
          <xdr:row>15</xdr:row>
          <xdr:rowOff>200025</xdr:rowOff>
        </xdr:to>
        <xdr:sp macro="" textlink="">
          <xdr:nvSpPr>
            <xdr:cNvPr id="2334" name="Option Button 286" hidden="1">
              <a:extLst>
                <a:ext uri="{63B3BB69-23CF-44E3-9099-C40C66FF867C}">
                  <a14:compatExt spid="_x0000_s2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15</xdr:row>
          <xdr:rowOff>28575</xdr:rowOff>
        </xdr:from>
        <xdr:to>
          <xdr:col>3</xdr:col>
          <xdr:colOff>561975</xdr:colOff>
          <xdr:row>15</xdr:row>
          <xdr:rowOff>209550</xdr:rowOff>
        </xdr:to>
        <xdr:sp macro="" textlink="">
          <xdr:nvSpPr>
            <xdr:cNvPr id="2335" name="Option Button 287" hidden="1">
              <a:extLst>
                <a:ext uri="{63B3BB69-23CF-44E3-9099-C40C66FF867C}">
                  <a14:compatExt spid="_x0000_s2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15</xdr:row>
          <xdr:rowOff>19050</xdr:rowOff>
        </xdr:from>
        <xdr:to>
          <xdr:col>4</xdr:col>
          <xdr:colOff>552450</xdr:colOff>
          <xdr:row>15</xdr:row>
          <xdr:rowOff>200025</xdr:rowOff>
        </xdr:to>
        <xdr:sp macro="" textlink="">
          <xdr:nvSpPr>
            <xdr:cNvPr id="2336" name="Option Button 288" hidden="1">
              <a:extLst>
                <a:ext uri="{63B3BB69-23CF-44E3-9099-C40C66FF867C}">
                  <a14:compatExt spid="_x0000_s2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19050</xdr:rowOff>
        </xdr:from>
        <xdr:to>
          <xdr:col>4</xdr:col>
          <xdr:colOff>742950</xdr:colOff>
          <xdr:row>16</xdr:row>
          <xdr:rowOff>219075</xdr:rowOff>
        </xdr:to>
        <xdr:sp macro="" textlink="">
          <xdr:nvSpPr>
            <xdr:cNvPr id="2337" name="Group Box 289" hidden="1">
              <a:extLst>
                <a:ext uri="{63B3BB69-23CF-44E3-9099-C40C66FF867C}">
                  <a14:compatExt spid="_x0000_s2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16</xdr:row>
          <xdr:rowOff>19050</xdr:rowOff>
        </xdr:from>
        <xdr:to>
          <xdr:col>2</xdr:col>
          <xdr:colOff>561975</xdr:colOff>
          <xdr:row>16</xdr:row>
          <xdr:rowOff>200025</xdr:rowOff>
        </xdr:to>
        <xdr:sp macro="" textlink="">
          <xdr:nvSpPr>
            <xdr:cNvPr id="2338" name="Option Button 290" hidden="1">
              <a:extLst>
                <a:ext uri="{63B3BB69-23CF-44E3-9099-C40C66FF867C}">
                  <a14:compatExt spid="_x0000_s2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16</xdr:row>
          <xdr:rowOff>28575</xdr:rowOff>
        </xdr:from>
        <xdr:to>
          <xdr:col>3</xdr:col>
          <xdr:colOff>561975</xdr:colOff>
          <xdr:row>16</xdr:row>
          <xdr:rowOff>209550</xdr:rowOff>
        </xdr:to>
        <xdr:sp macro="" textlink="">
          <xdr:nvSpPr>
            <xdr:cNvPr id="2339" name="Option Button 291" hidden="1">
              <a:extLst>
                <a:ext uri="{63B3BB69-23CF-44E3-9099-C40C66FF867C}">
                  <a14:compatExt spid="_x0000_s2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16</xdr:row>
          <xdr:rowOff>19050</xdr:rowOff>
        </xdr:from>
        <xdr:to>
          <xdr:col>4</xdr:col>
          <xdr:colOff>552450</xdr:colOff>
          <xdr:row>16</xdr:row>
          <xdr:rowOff>200025</xdr:rowOff>
        </xdr:to>
        <xdr:sp macro="" textlink="">
          <xdr:nvSpPr>
            <xdr:cNvPr id="2340" name="Option Button 292" hidden="1">
              <a:extLst>
                <a:ext uri="{63B3BB69-23CF-44E3-9099-C40C66FF867C}">
                  <a14:compatExt spid="_x0000_s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17</xdr:row>
          <xdr:rowOff>19050</xdr:rowOff>
        </xdr:from>
        <xdr:to>
          <xdr:col>4</xdr:col>
          <xdr:colOff>742950</xdr:colOff>
          <xdr:row>17</xdr:row>
          <xdr:rowOff>219075</xdr:rowOff>
        </xdr:to>
        <xdr:sp macro="" textlink="">
          <xdr:nvSpPr>
            <xdr:cNvPr id="2341" name="Group Box 293" hidden="1">
              <a:extLst>
                <a:ext uri="{63B3BB69-23CF-44E3-9099-C40C66FF867C}">
                  <a14:compatExt spid="_x0000_s2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17</xdr:row>
          <xdr:rowOff>19050</xdr:rowOff>
        </xdr:from>
        <xdr:to>
          <xdr:col>2</xdr:col>
          <xdr:colOff>561975</xdr:colOff>
          <xdr:row>17</xdr:row>
          <xdr:rowOff>200025</xdr:rowOff>
        </xdr:to>
        <xdr:sp macro="" textlink="">
          <xdr:nvSpPr>
            <xdr:cNvPr id="2342" name="Option Button 294" hidden="1">
              <a:extLst>
                <a:ext uri="{63B3BB69-23CF-44E3-9099-C40C66FF867C}">
                  <a14:compatExt spid="_x0000_s2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17</xdr:row>
          <xdr:rowOff>28575</xdr:rowOff>
        </xdr:from>
        <xdr:to>
          <xdr:col>3</xdr:col>
          <xdr:colOff>561975</xdr:colOff>
          <xdr:row>17</xdr:row>
          <xdr:rowOff>209550</xdr:rowOff>
        </xdr:to>
        <xdr:sp macro="" textlink="">
          <xdr:nvSpPr>
            <xdr:cNvPr id="2343" name="Option Button 295" hidden="1">
              <a:extLst>
                <a:ext uri="{63B3BB69-23CF-44E3-9099-C40C66FF867C}">
                  <a14:compatExt spid="_x0000_s2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17</xdr:row>
          <xdr:rowOff>19050</xdr:rowOff>
        </xdr:from>
        <xdr:to>
          <xdr:col>4</xdr:col>
          <xdr:colOff>552450</xdr:colOff>
          <xdr:row>17</xdr:row>
          <xdr:rowOff>200025</xdr:rowOff>
        </xdr:to>
        <xdr:sp macro="" textlink="">
          <xdr:nvSpPr>
            <xdr:cNvPr id="2344" name="Option Button 296" hidden="1">
              <a:extLst>
                <a:ext uri="{63B3BB69-23CF-44E3-9099-C40C66FF867C}">
                  <a14:compatExt spid="_x0000_s2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18</xdr:row>
          <xdr:rowOff>19050</xdr:rowOff>
        </xdr:from>
        <xdr:to>
          <xdr:col>4</xdr:col>
          <xdr:colOff>742950</xdr:colOff>
          <xdr:row>18</xdr:row>
          <xdr:rowOff>219075</xdr:rowOff>
        </xdr:to>
        <xdr:sp macro="" textlink="">
          <xdr:nvSpPr>
            <xdr:cNvPr id="2345" name="Group Box 297" hidden="1">
              <a:extLst>
                <a:ext uri="{63B3BB69-23CF-44E3-9099-C40C66FF867C}">
                  <a14:compatExt spid="_x0000_s2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18</xdr:row>
          <xdr:rowOff>19050</xdr:rowOff>
        </xdr:from>
        <xdr:to>
          <xdr:col>2</xdr:col>
          <xdr:colOff>561975</xdr:colOff>
          <xdr:row>18</xdr:row>
          <xdr:rowOff>200025</xdr:rowOff>
        </xdr:to>
        <xdr:sp macro="" textlink="">
          <xdr:nvSpPr>
            <xdr:cNvPr id="2346" name="Option Button 298" hidden="1">
              <a:extLst>
                <a:ext uri="{63B3BB69-23CF-44E3-9099-C40C66FF867C}">
                  <a14:compatExt spid="_x0000_s2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18</xdr:row>
          <xdr:rowOff>28575</xdr:rowOff>
        </xdr:from>
        <xdr:to>
          <xdr:col>3</xdr:col>
          <xdr:colOff>561975</xdr:colOff>
          <xdr:row>18</xdr:row>
          <xdr:rowOff>209550</xdr:rowOff>
        </xdr:to>
        <xdr:sp macro="" textlink="">
          <xdr:nvSpPr>
            <xdr:cNvPr id="2347" name="Option Button 299" hidden="1">
              <a:extLst>
                <a:ext uri="{63B3BB69-23CF-44E3-9099-C40C66FF867C}">
                  <a14:compatExt spid="_x0000_s2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18</xdr:row>
          <xdr:rowOff>19050</xdr:rowOff>
        </xdr:from>
        <xdr:to>
          <xdr:col>4</xdr:col>
          <xdr:colOff>552450</xdr:colOff>
          <xdr:row>18</xdr:row>
          <xdr:rowOff>200025</xdr:rowOff>
        </xdr:to>
        <xdr:sp macro="" textlink="">
          <xdr:nvSpPr>
            <xdr:cNvPr id="2348" name="Option Button 300" hidden="1">
              <a:extLst>
                <a:ext uri="{63B3BB69-23CF-44E3-9099-C40C66FF867C}">
                  <a14:compatExt spid="_x0000_s2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19050</xdr:rowOff>
        </xdr:from>
        <xdr:to>
          <xdr:col>4</xdr:col>
          <xdr:colOff>742950</xdr:colOff>
          <xdr:row>19</xdr:row>
          <xdr:rowOff>219075</xdr:rowOff>
        </xdr:to>
        <xdr:sp macro="" textlink="">
          <xdr:nvSpPr>
            <xdr:cNvPr id="2349" name="Group Box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19</xdr:row>
          <xdr:rowOff>19050</xdr:rowOff>
        </xdr:from>
        <xdr:to>
          <xdr:col>2</xdr:col>
          <xdr:colOff>561975</xdr:colOff>
          <xdr:row>19</xdr:row>
          <xdr:rowOff>200025</xdr:rowOff>
        </xdr:to>
        <xdr:sp macro="" textlink="">
          <xdr:nvSpPr>
            <xdr:cNvPr id="2350" name="Option Button 302" hidden="1">
              <a:extLst>
                <a:ext uri="{63B3BB69-23CF-44E3-9099-C40C66FF867C}">
                  <a14:compatExt spid="_x0000_s2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19</xdr:row>
          <xdr:rowOff>28575</xdr:rowOff>
        </xdr:from>
        <xdr:to>
          <xdr:col>3</xdr:col>
          <xdr:colOff>561975</xdr:colOff>
          <xdr:row>19</xdr:row>
          <xdr:rowOff>209550</xdr:rowOff>
        </xdr:to>
        <xdr:sp macro="" textlink="">
          <xdr:nvSpPr>
            <xdr:cNvPr id="2351" name="Option Button 303" hidden="1">
              <a:extLst>
                <a:ext uri="{63B3BB69-23CF-44E3-9099-C40C66FF867C}">
                  <a14:compatExt spid="_x0000_s2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19</xdr:row>
          <xdr:rowOff>19050</xdr:rowOff>
        </xdr:from>
        <xdr:to>
          <xdr:col>4</xdr:col>
          <xdr:colOff>552450</xdr:colOff>
          <xdr:row>19</xdr:row>
          <xdr:rowOff>200025</xdr:rowOff>
        </xdr:to>
        <xdr:sp macro="" textlink="">
          <xdr:nvSpPr>
            <xdr:cNvPr id="2352" name="Option Button 304" hidden="1">
              <a:extLst>
                <a:ext uri="{63B3BB69-23CF-44E3-9099-C40C66FF867C}">
                  <a14:compatExt spid="_x0000_s2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19050</xdr:rowOff>
        </xdr:from>
        <xdr:to>
          <xdr:col>4</xdr:col>
          <xdr:colOff>742950</xdr:colOff>
          <xdr:row>20</xdr:row>
          <xdr:rowOff>219075</xdr:rowOff>
        </xdr:to>
        <xdr:sp macro="" textlink="">
          <xdr:nvSpPr>
            <xdr:cNvPr id="2353" name="Group Box 305" hidden="1">
              <a:extLst>
                <a:ext uri="{63B3BB69-23CF-44E3-9099-C40C66FF867C}">
                  <a14:compatExt spid="_x0000_s2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19050</xdr:rowOff>
        </xdr:from>
        <xdr:to>
          <xdr:col>2</xdr:col>
          <xdr:colOff>561975</xdr:colOff>
          <xdr:row>20</xdr:row>
          <xdr:rowOff>200025</xdr:rowOff>
        </xdr:to>
        <xdr:sp macro="" textlink="">
          <xdr:nvSpPr>
            <xdr:cNvPr id="2354" name="Option Button 306" hidden="1">
              <a:extLst>
                <a:ext uri="{63B3BB69-23CF-44E3-9099-C40C66FF867C}">
                  <a14:compatExt spid="_x0000_s2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20</xdr:row>
          <xdr:rowOff>28575</xdr:rowOff>
        </xdr:from>
        <xdr:to>
          <xdr:col>3</xdr:col>
          <xdr:colOff>561975</xdr:colOff>
          <xdr:row>20</xdr:row>
          <xdr:rowOff>209550</xdr:rowOff>
        </xdr:to>
        <xdr:sp macro="" textlink="">
          <xdr:nvSpPr>
            <xdr:cNvPr id="2355" name="Option Button 307" hidden="1">
              <a:extLst>
                <a:ext uri="{63B3BB69-23CF-44E3-9099-C40C66FF867C}">
                  <a14:compatExt spid="_x0000_s2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20</xdr:row>
          <xdr:rowOff>19050</xdr:rowOff>
        </xdr:from>
        <xdr:to>
          <xdr:col>4</xdr:col>
          <xdr:colOff>552450</xdr:colOff>
          <xdr:row>20</xdr:row>
          <xdr:rowOff>200025</xdr:rowOff>
        </xdr:to>
        <xdr:sp macro="" textlink="">
          <xdr:nvSpPr>
            <xdr:cNvPr id="2356" name="Option Button 308" hidden="1">
              <a:extLst>
                <a:ext uri="{63B3BB69-23CF-44E3-9099-C40C66FF867C}">
                  <a14:compatExt spid="_x0000_s2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19050</xdr:rowOff>
        </xdr:from>
        <xdr:to>
          <xdr:col>4</xdr:col>
          <xdr:colOff>742950</xdr:colOff>
          <xdr:row>21</xdr:row>
          <xdr:rowOff>219075</xdr:rowOff>
        </xdr:to>
        <xdr:sp macro="" textlink="">
          <xdr:nvSpPr>
            <xdr:cNvPr id="2357" name="Group Box 309" hidden="1">
              <a:extLst>
                <a:ext uri="{63B3BB69-23CF-44E3-9099-C40C66FF867C}">
                  <a14:compatExt spid="_x0000_s2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21</xdr:row>
          <xdr:rowOff>19050</xdr:rowOff>
        </xdr:from>
        <xdr:to>
          <xdr:col>2</xdr:col>
          <xdr:colOff>561975</xdr:colOff>
          <xdr:row>21</xdr:row>
          <xdr:rowOff>200025</xdr:rowOff>
        </xdr:to>
        <xdr:sp macro="" textlink="">
          <xdr:nvSpPr>
            <xdr:cNvPr id="2358" name="Option Button 310" hidden="1">
              <a:extLst>
                <a:ext uri="{63B3BB69-23CF-44E3-9099-C40C66FF867C}">
                  <a14:compatExt spid="_x0000_s2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21</xdr:row>
          <xdr:rowOff>28575</xdr:rowOff>
        </xdr:from>
        <xdr:to>
          <xdr:col>3</xdr:col>
          <xdr:colOff>561975</xdr:colOff>
          <xdr:row>21</xdr:row>
          <xdr:rowOff>209550</xdr:rowOff>
        </xdr:to>
        <xdr:sp macro="" textlink="">
          <xdr:nvSpPr>
            <xdr:cNvPr id="2359" name="Option Button 311" hidden="1">
              <a:extLst>
                <a:ext uri="{63B3BB69-23CF-44E3-9099-C40C66FF867C}">
                  <a14:compatExt spid="_x0000_s2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21</xdr:row>
          <xdr:rowOff>19050</xdr:rowOff>
        </xdr:from>
        <xdr:to>
          <xdr:col>4</xdr:col>
          <xdr:colOff>552450</xdr:colOff>
          <xdr:row>21</xdr:row>
          <xdr:rowOff>200025</xdr:rowOff>
        </xdr:to>
        <xdr:sp macro="" textlink="">
          <xdr:nvSpPr>
            <xdr:cNvPr id="2360" name="Option Button 312" hidden="1">
              <a:extLst>
                <a:ext uri="{63B3BB69-23CF-44E3-9099-C40C66FF867C}">
                  <a14:compatExt spid="_x0000_s2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22</xdr:row>
          <xdr:rowOff>19050</xdr:rowOff>
        </xdr:from>
        <xdr:to>
          <xdr:col>4</xdr:col>
          <xdr:colOff>742950</xdr:colOff>
          <xdr:row>22</xdr:row>
          <xdr:rowOff>219075</xdr:rowOff>
        </xdr:to>
        <xdr:sp macro="" textlink="">
          <xdr:nvSpPr>
            <xdr:cNvPr id="2361" name="Group Box 313" hidden="1">
              <a:extLst>
                <a:ext uri="{63B3BB69-23CF-44E3-9099-C40C66FF867C}">
                  <a14:compatExt spid="_x0000_s2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22</xdr:row>
          <xdr:rowOff>19050</xdr:rowOff>
        </xdr:from>
        <xdr:to>
          <xdr:col>2</xdr:col>
          <xdr:colOff>561975</xdr:colOff>
          <xdr:row>22</xdr:row>
          <xdr:rowOff>200025</xdr:rowOff>
        </xdr:to>
        <xdr:sp macro="" textlink="">
          <xdr:nvSpPr>
            <xdr:cNvPr id="2362" name="Option Button 314" hidden="1">
              <a:extLst>
                <a:ext uri="{63B3BB69-23CF-44E3-9099-C40C66FF867C}">
                  <a14:compatExt spid="_x0000_s2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22</xdr:row>
          <xdr:rowOff>28575</xdr:rowOff>
        </xdr:from>
        <xdr:to>
          <xdr:col>3</xdr:col>
          <xdr:colOff>561975</xdr:colOff>
          <xdr:row>22</xdr:row>
          <xdr:rowOff>209550</xdr:rowOff>
        </xdr:to>
        <xdr:sp macro="" textlink="">
          <xdr:nvSpPr>
            <xdr:cNvPr id="2363" name="Option Button 315" hidden="1">
              <a:extLst>
                <a:ext uri="{63B3BB69-23CF-44E3-9099-C40C66FF867C}">
                  <a14:compatExt spid="_x0000_s2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22</xdr:row>
          <xdr:rowOff>19050</xdr:rowOff>
        </xdr:from>
        <xdr:to>
          <xdr:col>4</xdr:col>
          <xdr:colOff>552450</xdr:colOff>
          <xdr:row>22</xdr:row>
          <xdr:rowOff>200025</xdr:rowOff>
        </xdr:to>
        <xdr:sp macro="" textlink="">
          <xdr:nvSpPr>
            <xdr:cNvPr id="2364" name="Option Button 316" hidden="1">
              <a:extLst>
                <a:ext uri="{63B3BB69-23CF-44E3-9099-C40C66FF867C}">
                  <a14:compatExt spid="_x0000_s2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23</xdr:row>
          <xdr:rowOff>19050</xdr:rowOff>
        </xdr:from>
        <xdr:to>
          <xdr:col>4</xdr:col>
          <xdr:colOff>742950</xdr:colOff>
          <xdr:row>23</xdr:row>
          <xdr:rowOff>219075</xdr:rowOff>
        </xdr:to>
        <xdr:sp macro="" textlink="">
          <xdr:nvSpPr>
            <xdr:cNvPr id="2365" name="Group Box 317" hidden="1">
              <a:extLst>
                <a:ext uri="{63B3BB69-23CF-44E3-9099-C40C66FF867C}">
                  <a14:compatExt spid="_x0000_s2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23</xdr:row>
          <xdr:rowOff>19050</xdr:rowOff>
        </xdr:from>
        <xdr:to>
          <xdr:col>2</xdr:col>
          <xdr:colOff>561975</xdr:colOff>
          <xdr:row>23</xdr:row>
          <xdr:rowOff>200025</xdr:rowOff>
        </xdr:to>
        <xdr:sp macro="" textlink="">
          <xdr:nvSpPr>
            <xdr:cNvPr id="2366" name="Option Button 318" hidden="1">
              <a:extLst>
                <a:ext uri="{63B3BB69-23CF-44E3-9099-C40C66FF867C}">
                  <a14:compatExt spid="_x0000_s2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23</xdr:row>
          <xdr:rowOff>28575</xdr:rowOff>
        </xdr:from>
        <xdr:to>
          <xdr:col>3</xdr:col>
          <xdr:colOff>561975</xdr:colOff>
          <xdr:row>23</xdr:row>
          <xdr:rowOff>209550</xdr:rowOff>
        </xdr:to>
        <xdr:sp macro="" textlink="">
          <xdr:nvSpPr>
            <xdr:cNvPr id="2367" name="Option Button 319" hidden="1">
              <a:extLst>
                <a:ext uri="{63B3BB69-23CF-44E3-9099-C40C66FF867C}">
                  <a14:compatExt spid="_x0000_s2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23</xdr:row>
          <xdr:rowOff>19050</xdr:rowOff>
        </xdr:from>
        <xdr:to>
          <xdr:col>4</xdr:col>
          <xdr:colOff>552450</xdr:colOff>
          <xdr:row>23</xdr:row>
          <xdr:rowOff>200025</xdr:rowOff>
        </xdr:to>
        <xdr:sp macro="" textlink="">
          <xdr:nvSpPr>
            <xdr:cNvPr id="2368" name="Option Button 320" hidden="1">
              <a:extLst>
                <a:ext uri="{63B3BB69-23CF-44E3-9099-C40C66FF867C}">
                  <a14:compatExt spid="_x0000_s2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24</xdr:row>
          <xdr:rowOff>19050</xdr:rowOff>
        </xdr:from>
        <xdr:to>
          <xdr:col>4</xdr:col>
          <xdr:colOff>742950</xdr:colOff>
          <xdr:row>24</xdr:row>
          <xdr:rowOff>219075</xdr:rowOff>
        </xdr:to>
        <xdr:sp macro="" textlink="">
          <xdr:nvSpPr>
            <xdr:cNvPr id="2369" name="Group Box 321" hidden="1">
              <a:extLst>
                <a:ext uri="{63B3BB69-23CF-44E3-9099-C40C66FF867C}">
                  <a14:compatExt spid="_x0000_s2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24</xdr:row>
          <xdr:rowOff>19050</xdr:rowOff>
        </xdr:from>
        <xdr:to>
          <xdr:col>2</xdr:col>
          <xdr:colOff>561975</xdr:colOff>
          <xdr:row>24</xdr:row>
          <xdr:rowOff>200025</xdr:rowOff>
        </xdr:to>
        <xdr:sp macro="" textlink="">
          <xdr:nvSpPr>
            <xdr:cNvPr id="2370" name="Option Button 322" hidden="1">
              <a:extLst>
                <a:ext uri="{63B3BB69-23CF-44E3-9099-C40C66FF867C}">
                  <a14:compatExt spid="_x0000_s2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24</xdr:row>
          <xdr:rowOff>28575</xdr:rowOff>
        </xdr:from>
        <xdr:to>
          <xdr:col>3</xdr:col>
          <xdr:colOff>561975</xdr:colOff>
          <xdr:row>24</xdr:row>
          <xdr:rowOff>209550</xdr:rowOff>
        </xdr:to>
        <xdr:sp macro="" textlink="">
          <xdr:nvSpPr>
            <xdr:cNvPr id="2371" name="Option Button 323" hidden="1">
              <a:extLst>
                <a:ext uri="{63B3BB69-23CF-44E3-9099-C40C66FF867C}">
                  <a14:compatExt spid="_x0000_s2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24</xdr:row>
          <xdr:rowOff>19050</xdr:rowOff>
        </xdr:from>
        <xdr:to>
          <xdr:col>4</xdr:col>
          <xdr:colOff>552450</xdr:colOff>
          <xdr:row>24</xdr:row>
          <xdr:rowOff>200025</xdr:rowOff>
        </xdr:to>
        <xdr:sp macro="" textlink="">
          <xdr:nvSpPr>
            <xdr:cNvPr id="2372" name="Option Button 324" hidden="1">
              <a:extLst>
                <a:ext uri="{63B3BB69-23CF-44E3-9099-C40C66FF867C}">
                  <a14:compatExt spid="_x0000_s2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25</xdr:row>
          <xdr:rowOff>19050</xdr:rowOff>
        </xdr:from>
        <xdr:to>
          <xdr:col>4</xdr:col>
          <xdr:colOff>742950</xdr:colOff>
          <xdr:row>25</xdr:row>
          <xdr:rowOff>219075</xdr:rowOff>
        </xdr:to>
        <xdr:sp macro="" textlink="">
          <xdr:nvSpPr>
            <xdr:cNvPr id="2373" name="Group Box 325" hidden="1">
              <a:extLst>
                <a:ext uri="{63B3BB69-23CF-44E3-9099-C40C66FF867C}">
                  <a14:compatExt spid="_x0000_s2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25</xdr:row>
          <xdr:rowOff>19050</xdr:rowOff>
        </xdr:from>
        <xdr:to>
          <xdr:col>2</xdr:col>
          <xdr:colOff>561975</xdr:colOff>
          <xdr:row>25</xdr:row>
          <xdr:rowOff>200025</xdr:rowOff>
        </xdr:to>
        <xdr:sp macro="" textlink="">
          <xdr:nvSpPr>
            <xdr:cNvPr id="2374" name="Option Button 326" hidden="1">
              <a:extLst>
                <a:ext uri="{63B3BB69-23CF-44E3-9099-C40C66FF867C}">
                  <a14:compatExt spid="_x0000_s2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25</xdr:row>
          <xdr:rowOff>28575</xdr:rowOff>
        </xdr:from>
        <xdr:to>
          <xdr:col>3</xdr:col>
          <xdr:colOff>561975</xdr:colOff>
          <xdr:row>25</xdr:row>
          <xdr:rowOff>209550</xdr:rowOff>
        </xdr:to>
        <xdr:sp macro="" textlink="">
          <xdr:nvSpPr>
            <xdr:cNvPr id="2375" name="Option Button 327" hidden="1">
              <a:extLst>
                <a:ext uri="{63B3BB69-23CF-44E3-9099-C40C66FF867C}">
                  <a14:compatExt spid="_x0000_s2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25</xdr:row>
          <xdr:rowOff>19050</xdr:rowOff>
        </xdr:from>
        <xdr:to>
          <xdr:col>4</xdr:col>
          <xdr:colOff>552450</xdr:colOff>
          <xdr:row>25</xdr:row>
          <xdr:rowOff>200025</xdr:rowOff>
        </xdr:to>
        <xdr:sp macro="" textlink="">
          <xdr:nvSpPr>
            <xdr:cNvPr id="2376" name="Option Button 328" hidden="1">
              <a:extLst>
                <a:ext uri="{63B3BB69-23CF-44E3-9099-C40C66FF867C}">
                  <a14:compatExt spid="_x0000_s2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</xdr:rowOff>
        </xdr:from>
        <xdr:to>
          <xdr:col>1</xdr:col>
          <xdr:colOff>2438400</xdr:colOff>
          <xdr:row>0</xdr:row>
          <xdr:rowOff>323850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to reset questionnaire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26</xdr:row>
          <xdr:rowOff>133350</xdr:rowOff>
        </xdr:from>
        <xdr:to>
          <xdr:col>4</xdr:col>
          <xdr:colOff>619125</xdr:colOff>
          <xdr:row>28</xdr:row>
          <xdr:rowOff>47625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for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2619375</xdr:colOff>
          <xdr:row>0</xdr:row>
          <xdr:rowOff>95250</xdr:rowOff>
        </xdr:from>
        <xdr:to>
          <xdr:col>1</xdr:col>
          <xdr:colOff>3943350</xdr:colOff>
          <xdr:row>0</xdr:row>
          <xdr:rowOff>257175</xdr:rowOff>
        </xdr:to>
        <xdr:sp macro="" textlink="">
          <xdr:nvSpPr>
            <xdr:cNvPr id="2382" name="Drop Down 334" hidden="1">
              <a:extLst>
                <a:ext uri="{63B3BB69-23CF-44E3-9099-C40C66FF867C}">
                  <a14:compatExt spid="_x0000_s2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114300</xdr:rowOff>
        </xdr:from>
        <xdr:to>
          <xdr:col>5</xdr:col>
          <xdr:colOff>514350</xdr:colOff>
          <xdr:row>17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Questionnaire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M38"/>
  <sheetViews>
    <sheetView showGridLines="0" showRowColHeaders="0" tabSelected="1" zoomScaleNormal="100" workbookViewId="0">
      <selection activeCell="Q7" sqref="Q7"/>
    </sheetView>
  </sheetViews>
  <sheetFormatPr defaultRowHeight="15" x14ac:dyDescent="0.25"/>
  <cols>
    <col min="1" max="1" width="5" customWidth="1"/>
    <col min="2" max="2" width="61.42578125" bestFit="1" customWidth="1"/>
    <col min="3" max="5" width="11.28515625" customWidth="1"/>
    <col min="6" max="6" width="7" style="10" hidden="1" customWidth="1"/>
    <col min="7" max="7" width="11.28515625" hidden="1" customWidth="1"/>
    <col min="8" max="10" width="10.42578125" style="1" hidden="1" customWidth="1"/>
    <col min="11" max="13" width="4.42578125" style="1" hidden="1" customWidth="1"/>
  </cols>
  <sheetData>
    <row r="1" spans="1:13" s="2" customFormat="1" ht="30" x14ac:dyDescent="0.25">
      <c r="C1" s="8" t="s">
        <v>25</v>
      </c>
      <c r="D1" s="8" t="s">
        <v>26</v>
      </c>
      <c r="E1" s="8" t="s">
        <v>27</v>
      </c>
      <c r="F1" s="9"/>
      <c r="G1" s="3"/>
      <c r="H1" s="3" t="s">
        <v>25</v>
      </c>
      <c r="I1" s="3" t="s">
        <v>26</v>
      </c>
      <c r="J1" s="3" t="s">
        <v>27</v>
      </c>
      <c r="K1" s="3"/>
      <c r="L1" s="3"/>
      <c r="M1" s="3"/>
    </row>
    <row r="2" spans="1:13" ht="18.75" customHeight="1" x14ac:dyDescent="0.25">
      <c r="A2" s="1">
        <v>1</v>
      </c>
      <c r="B2" t="s">
        <v>0</v>
      </c>
      <c r="G2" s="22">
        <v>0</v>
      </c>
      <c r="H2" s="1">
        <v>0</v>
      </c>
      <c r="I2" s="1">
        <v>1</v>
      </c>
      <c r="J2" s="1">
        <v>2</v>
      </c>
      <c r="K2" s="4">
        <v>1</v>
      </c>
      <c r="L2" s="5">
        <f t="shared" ref="L2:L26" si="0">IF(G2=0,0,INDEX(H2:J2,1,G2))</f>
        <v>0</v>
      </c>
      <c r="M2" s="1">
        <f>IF(G2=0,0,2)</f>
        <v>0</v>
      </c>
    </row>
    <row r="3" spans="1:13" ht="18.75" customHeight="1" x14ac:dyDescent="0.25">
      <c r="A3" s="1">
        <v>2</v>
      </c>
      <c r="B3" t="s">
        <v>1</v>
      </c>
      <c r="G3" s="22">
        <v>0</v>
      </c>
      <c r="H3" s="1">
        <v>0</v>
      </c>
      <c r="I3" s="1">
        <v>1</v>
      </c>
      <c r="J3" s="1">
        <v>2</v>
      </c>
      <c r="K3" s="4">
        <v>2</v>
      </c>
      <c r="L3" s="5">
        <f t="shared" si="0"/>
        <v>0</v>
      </c>
      <c r="M3" s="1">
        <f t="shared" ref="M3:M26" si="1">IF(G3=0,0,2)</f>
        <v>0</v>
      </c>
    </row>
    <row r="4" spans="1:13" ht="18.75" customHeight="1" x14ac:dyDescent="0.25">
      <c r="A4" s="1">
        <v>3</v>
      </c>
      <c r="B4" t="s">
        <v>2</v>
      </c>
      <c r="G4" s="22">
        <v>0</v>
      </c>
      <c r="H4" s="1">
        <v>0</v>
      </c>
      <c r="I4" s="1">
        <v>1</v>
      </c>
      <c r="J4" s="1">
        <v>2</v>
      </c>
      <c r="K4" s="4">
        <v>3</v>
      </c>
      <c r="L4" s="5">
        <f t="shared" si="0"/>
        <v>0</v>
      </c>
      <c r="M4" s="1">
        <f t="shared" si="1"/>
        <v>0</v>
      </c>
    </row>
    <row r="5" spans="1:13" ht="18.75" customHeight="1" x14ac:dyDescent="0.25">
      <c r="A5" s="1">
        <v>4</v>
      </c>
      <c r="B5" t="s">
        <v>3</v>
      </c>
      <c r="G5" s="22">
        <v>0</v>
      </c>
      <c r="H5" s="1">
        <v>0</v>
      </c>
      <c r="I5" s="1">
        <v>1</v>
      </c>
      <c r="J5" s="1">
        <v>2</v>
      </c>
      <c r="K5" s="4">
        <v>4</v>
      </c>
      <c r="L5" s="5">
        <f t="shared" si="0"/>
        <v>0</v>
      </c>
      <c r="M5" s="1">
        <f t="shared" si="1"/>
        <v>0</v>
      </c>
    </row>
    <row r="6" spans="1:13" ht="18.75" customHeight="1" x14ac:dyDescent="0.25">
      <c r="A6" s="1">
        <v>5</v>
      </c>
      <c r="B6" t="s">
        <v>4</v>
      </c>
      <c r="G6" s="22">
        <v>0</v>
      </c>
      <c r="H6" s="1">
        <v>0</v>
      </c>
      <c r="I6" s="1">
        <v>1</v>
      </c>
      <c r="J6" s="1">
        <v>2</v>
      </c>
      <c r="K6" s="4">
        <v>5</v>
      </c>
      <c r="L6" s="5">
        <f t="shared" si="0"/>
        <v>0</v>
      </c>
      <c r="M6" s="1">
        <f t="shared" si="1"/>
        <v>0</v>
      </c>
    </row>
    <row r="7" spans="1:13" ht="18.75" customHeight="1" x14ac:dyDescent="0.25">
      <c r="A7" s="1">
        <v>6</v>
      </c>
      <c r="B7" t="s">
        <v>5</v>
      </c>
      <c r="G7" s="22">
        <v>0</v>
      </c>
      <c r="H7" s="1">
        <v>0</v>
      </c>
      <c r="I7" s="1">
        <v>1</v>
      </c>
      <c r="J7" s="1">
        <v>2</v>
      </c>
      <c r="K7" s="4">
        <v>6</v>
      </c>
      <c r="L7" s="5">
        <f t="shared" si="0"/>
        <v>0</v>
      </c>
      <c r="M7" s="1">
        <f t="shared" si="1"/>
        <v>0</v>
      </c>
    </row>
    <row r="8" spans="1:13" ht="18.75" customHeight="1" x14ac:dyDescent="0.25">
      <c r="A8" s="1">
        <v>7</v>
      </c>
      <c r="B8" t="s">
        <v>6</v>
      </c>
      <c r="G8" s="22">
        <v>0</v>
      </c>
      <c r="H8" s="1">
        <v>2</v>
      </c>
      <c r="I8" s="1">
        <v>1</v>
      </c>
      <c r="J8" s="1">
        <v>0</v>
      </c>
      <c r="K8" s="4">
        <v>7</v>
      </c>
      <c r="L8" s="5">
        <f t="shared" si="0"/>
        <v>0</v>
      </c>
      <c r="M8" s="1">
        <f t="shared" si="1"/>
        <v>0</v>
      </c>
    </row>
    <row r="9" spans="1:13" ht="18.75" customHeight="1" x14ac:dyDescent="0.25">
      <c r="A9" s="1">
        <v>8</v>
      </c>
      <c r="B9" t="s">
        <v>7</v>
      </c>
      <c r="G9" s="22">
        <v>0</v>
      </c>
      <c r="H9" s="1">
        <v>0</v>
      </c>
      <c r="I9" s="1">
        <v>1</v>
      </c>
      <c r="J9" s="1">
        <v>2</v>
      </c>
      <c r="K9" s="4">
        <v>8</v>
      </c>
      <c r="L9" s="5">
        <f t="shared" si="0"/>
        <v>0</v>
      </c>
      <c r="M9" s="1">
        <f t="shared" si="1"/>
        <v>0</v>
      </c>
    </row>
    <row r="10" spans="1:13" ht="18.75" customHeight="1" x14ac:dyDescent="0.25">
      <c r="A10" s="1">
        <v>9</v>
      </c>
      <c r="B10" t="s">
        <v>8</v>
      </c>
      <c r="G10" s="22">
        <v>0</v>
      </c>
      <c r="H10" s="1">
        <v>0</v>
      </c>
      <c r="I10" s="1">
        <v>1</v>
      </c>
      <c r="J10" s="1">
        <v>2</v>
      </c>
      <c r="K10" s="4">
        <v>9</v>
      </c>
      <c r="L10" s="5">
        <f t="shared" si="0"/>
        <v>0</v>
      </c>
      <c r="M10" s="1">
        <f t="shared" si="1"/>
        <v>0</v>
      </c>
    </row>
    <row r="11" spans="1:13" ht="18.75" customHeight="1" x14ac:dyDescent="0.25">
      <c r="A11" s="1">
        <v>10</v>
      </c>
      <c r="B11" t="s">
        <v>9</v>
      </c>
      <c r="G11" s="22">
        <v>0</v>
      </c>
      <c r="H11" s="1">
        <v>0</v>
      </c>
      <c r="I11" s="1">
        <v>1</v>
      </c>
      <c r="J11" s="1">
        <v>2</v>
      </c>
      <c r="K11" s="4">
        <v>10</v>
      </c>
      <c r="L11" s="5">
        <f t="shared" si="0"/>
        <v>0</v>
      </c>
      <c r="M11" s="1">
        <f t="shared" si="1"/>
        <v>0</v>
      </c>
    </row>
    <row r="12" spans="1:13" ht="18.75" customHeight="1" x14ac:dyDescent="0.25">
      <c r="A12" s="1">
        <v>11</v>
      </c>
      <c r="B12" t="s">
        <v>10</v>
      </c>
      <c r="G12" s="22">
        <v>0</v>
      </c>
      <c r="H12" s="1">
        <v>2</v>
      </c>
      <c r="I12" s="1">
        <v>1</v>
      </c>
      <c r="J12" s="1">
        <v>0</v>
      </c>
      <c r="K12" s="4">
        <v>11</v>
      </c>
      <c r="L12" s="5">
        <f t="shared" si="0"/>
        <v>0</v>
      </c>
      <c r="M12" s="1">
        <f t="shared" si="1"/>
        <v>0</v>
      </c>
    </row>
    <row r="13" spans="1:13" ht="18.75" customHeight="1" x14ac:dyDescent="0.25">
      <c r="A13" s="1">
        <v>12</v>
      </c>
      <c r="B13" t="s">
        <v>11</v>
      </c>
      <c r="G13" s="22">
        <v>0</v>
      </c>
      <c r="H13" s="1">
        <v>0</v>
      </c>
      <c r="I13" s="1">
        <v>1</v>
      </c>
      <c r="J13" s="1">
        <v>2</v>
      </c>
      <c r="K13" s="4">
        <v>12</v>
      </c>
      <c r="L13" s="5">
        <f t="shared" si="0"/>
        <v>0</v>
      </c>
      <c r="M13" s="1">
        <f t="shared" si="1"/>
        <v>0</v>
      </c>
    </row>
    <row r="14" spans="1:13" ht="18.75" customHeight="1" x14ac:dyDescent="0.25">
      <c r="A14" s="1">
        <v>13</v>
      </c>
      <c r="B14" t="s">
        <v>12</v>
      </c>
      <c r="G14" s="22">
        <v>0</v>
      </c>
      <c r="H14" s="1">
        <v>0</v>
      </c>
      <c r="I14" s="1">
        <v>1</v>
      </c>
      <c r="J14" s="1">
        <v>2</v>
      </c>
      <c r="K14" s="4">
        <v>13</v>
      </c>
      <c r="L14" s="5">
        <f t="shared" si="0"/>
        <v>0</v>
      </c>
      <c r="M14" s="1">
        <f t="shared" si="1"/>
        <v>0</v>
      </c>
    </row>
    <row r="15" spans="1:13" ht="18.75" customHeight="1" x14ac:dyDescent="0.25">
      <c r="A15" s="1">
        <v>14</v>
      </c>
      <c r="B15" t="s">
        <v>13</v>
      </c>
      <c r="G15" s="22">
        <v>0</v>
      </c>
      <c r="H15" s="1">
        <v>2</v>
      </c>
      <c r="I15" s="1">
        <v>1</v>
      </c>
      <c r="J15" s="1">
        <v>0</v>
      </c>
      <c r="K15" s="4">
        <v>14</v>
      </c>
      <c r="L15" s="5">
        <f t="shared" si="0"/>
        <v>0</v>
      </c>
      <c r="M15" s="1">
        <f t="shared" si="1"/>
        <v>0</v>
      </c>
    </row>
    <row r="16" spans="1:13" ht="18.75" customHeight="1" x14ac:dyDescent="0.25">
      <c r="A16" s="1">
        <v>15</v>
      </c>
      <c r="B16" t="s">
        <v>14</v>
      </c>
      <c r="G16" s="22">
        <v>0</v>
      </c>
      <c r="H16" s="1">
        <v>0</v>
      </c>
      <c r="I16" s="1">
        <v>1</v>
      </c>
      <c r="J16" s="1">
        <v>2</v>
      </c>
      <c r="K16" s="4">
        <v>15</v>
      </c>
      <c r="L16" s="5">
        <f t="shared" si="0"/>
        <v>0</v>
      </c>
      <c r="M16" s="1">
        <f t="shared" si="1"/>
        <v>0</v>
      </c>
    </row>
    <row r="17" spans="1:13" ht="18.75" customHeight="1" x14ac:dyDescent="0.25">
      <c r="A17" s="1">
        <v>16</v>
      </c>
      <c r="B17" t="s">
        <v>15</v>
      </c>
      <c r="G17" s="22">
        <v>0</v>
      </c>
      <c r="H17" s="1">
        <v>0</v>
      </c>
      <c r="I17" s="1">
        <v>1</v>
      </c>
      <c r="J17" s="1">
        <v>2</v>
      </c>
      <c r="K17" s="4">
        <v>16</v>
      </c>
      <c r="L17" s="5">
        <f t="shared" si="0"/>
        <v>0</v>
      </c>
      <c r="M17" s="1">
        <f t="shared" si="1"/>
        <v>0</v>
      </c>
    </row>
    <row r="18" spans="1:13" ht="18.75" customHeight="1" x14ac:dyDescent="0.25">
      <c r="A18" s="1">
        <v>17</v>
      </c>
      <c r="B18" t="s">
        <v>16</v>
      </c>
      <c r="G18" s="22">
        <v>0</v>
      </c>
      <c r="H18" s="1">
        <v>0</v>
      </c>
      <c r="I18" s="1">
        <v>1</v>
      </c>
      <c r="J18" s="1">
        <v>2</v>
      </c>
      <c r="K18" s="4">
        <v>17</v>
      </c>
      <c r="L18" s="5">
        <f t="shared" si="0"/>
        <v>0</v>
      </c>
      <c r="M18" s="1">
        <f t="shared" si="1"/>
        <v>0</v>
      </c>
    </row>
    <row r="19" spans="1:13" ht="18.75" customHeight="1" x14ac:dyDescent="0.25">
      <c r="A19" s="1">
        <v>18</v>
      </c>
      <c r="B19" t="s">
        <v>17</v>
      </c>
      <c r="G19" s="22">
        <v>0</v>
      </c>
      <c r="H19" s="1">
        <v>0</v>
      </c>
      <c r="I19" s="1">
        <v>1</v>
      </c>
      <c r="J19" s="1">
        <v>2</v>
      </c>
      <c r="K19" s="4">
        <v>18</v>
      </c>
      <c r="L19" s="5">
        <f t="shared" si="0"/>
        <v>0</v>
      </c>
      <c r="M19" s="1">
        <f t="shared" si="1"/>
        <v>0</v>
      </c>
    </row>
    <row r="20" spans="1:13" ht="18.75" customHeight="1" x14ac:dyDescent="0.25">
      <c r="A20" s="1">
        <v>19</v>
      </c>
      <c r="B20" t="s">
        <v>18</v>
      </c>
      <c r="G20" s="22">
        <v>0</v>
      </c>
      <c r="H20" s="1">
        <v>0</v>
      </c>
      <c r="I20" s="1">
        <v>1</v>
      </c>
      <c r="J20" s="1">
        <v>2</v>
      </c>
      <c r="K20" s="4">
        <v>19</v>
      </c>
      <c r="L20" s="5">
        <f t="shared" si="0"/>
        <v>0</v>
      </c>
      <c r="M20" s="1">
        <f t="shared" si="1"/>
        <v>0</v>
      </c>
    </row>
    <row r="21" spans="1:13" ht="18.75" customHeight="1" x14ac:dyDescent="0.25">
      <c r="A21" s="1">
        <v>20</v>
      </c>
      <c r="B21" t="s">
        <v>19</v>
      </c>
      <c r="G21" s="22">
        <v>0</v>
      </c>
      <c r="H21" s="1">
        <v>0</v>
      </c>
      <c r="I21" s="1">
        <v>1</v>
      </c>
      <c r="J21" s="1">
        <v>2</v>
      </c>
      <c r="K21" s="4">
        <v>20</v>
      </c>
      <c r="L21" s="5">
        <f t="shared" si="0"/>
        <v>0</v>
      </c>
      <c r="M21" s="1">
        <f t="shared" si="1"/>
        <v>0</v>
      </c>
    </row>
    <row r="22" spans="1:13" ht="18.75" customHeight="1" x14ac:dyDescent="0.25">
      <c r="A22" s="1">
        <v>21</v>
      </c>
      <c r="B22" t="s">
        <v>20</v>
      </c>
      <c r="G22" s="22">
        <v>0</v>
      </c>
      <c r="H22" s="1">
        <v>2</v>
      </c>
      <c r="I22" s="1">
        <v>1</v>
      </c>
      <c r="J22" s="1">
        <v>0</v>
      </c>
      <c r="K22" s="4">
        <v>21</v>
      </c>
      <c r="L22" s="5">
        <f t="shared" si="0"/>
        <v>0</v>
      </c>
      <c r="M22" s="1">
        <f t="shared" si="1"/>
        <v>0</v>
      </c>
    </row>
    <row r="23" spans="1:13" ht="18.75" customHeight="1" x14ac:dyDescent="0.25">
      <c r="A23" s="1">
        <v>22</v>
      </c>
      <c r="B23" t="s">
        <v>21</v>
      </c>
      <c r="G23" s="22">
        <v>0</v>
      </c>
      <c r="H23" s="1">
        <v>0</v>
      </c>
      <c r="I23" s="1">
        <v>1</v>
      </c>
      <c r="J23" s="1">
        <v>2</v>
      </c>
      <c r="K23" s="4">
        <v>22</v>
      </c>
      <c r="L23" s="5">
        <f t="shared" si="0"/>
        <v>0</v>
      </c>
      <c r="M23" s="1">
        <f t="shared" si="1"/>
        <v>0</v>
      </c>
    </row>
    <row r="24" spans="1:13" ht="18.75" customHeight="1" x14ac:dyDescent="0.25">
      <c r="A24" s="1">
        <v>23</v>
      </c>
      <c r="B24" t="s">
        <v>22</v>
      </c>
      <c r="G24" s="22">
        <v>0</v>
      </c>
      <c r="H24" s="1">
        <v>0</v>
      </c>
      <c r="I24" s="1">
        <v>1</v>
      </c>
      <c r="J24" s="1">
        <v>2</v>
      </c>
      <c r="K24" s="4">
        <v>23</v>
      </c>
      <c r="L24" s="5">
        <f t="shared" si="0"/>
        <v>0</v>
      </c>
      <c r="M24" s="1">
        <f t="shared" si="1"/>
        <v>0</v>
      </c>
    </row>
    <row r="25" spans="1:13" ht="18.75" customHeight="1" x14ac:dyDescent="0.25">
      <c r="A25" s="1">
        <v>24</v>
      </c>
      <c r="B25" t="s">
        <v>23</v>
      </c>
      <c r="G25" s="22">
        <v>0</v>
      </c>
      <c r="H25" s="1">
        <v>0</v>
      </c>
      <c r="I25" s="1">
        <v>1</v>
      </c>
      <c r="J25" s="1">
        <v>2</v>
      </c>
      <c r="K25" s="4">
        <v>24</v>
      </c>
      <c r="L25" s="5">
        <f t="shared" si="0"/>
        <v>0</v>
      </c>
      <c r="M25" s="1">
        <f t="shared" si="1"/>
        <v>0</v>
      </c>
    </row>
    <row r="26" spans="1:13" ht="18.75" customHeight="1" x14ac:dyDescent="0.25">
      <c r="A26" s="1">
        <v>25</v>
      </c>
      <c r="B26" t="s">
        <v>24</v>
      </c>
      <c r="G26" s="22">
        <v>0</v>
      </c>
      <c r="H26" s="1">
        <v>2</v>
      </c>
      <c r="I26" s="1">
        <v>1</v>
      </c>
      <c r="J26" s="1">
        <v>0</v>
      </c>
      <c r="K26" s="4">
        <v>25</v>
      </c>
      <c r="L26" s="5">
        <f t="shared" si="0"/>
        <v>0</v>
      </c>
      <c r="M26" s="1">
        <f t="shared" si="1"/>
        <v>0</v>
      </c>
    </row>
    <row r="28" spans="1:13" x14ac:dyDescent="0.25">
      <c r="G28" s="23"/>
      <c r="H28" s="22">
        <v>0</v>
      </c>
      <c r="J28" s="22">
        <v>2</v>
      </c>
      <c r="K28" s="1" t="str">
        <f>VLOOKUP(J28,drop_comp,2,FALSE)</f>
        <v>t</v>
      </c>
    </row>
    <row r="30" spans="1:13" x14ac:dyDescent="0.25">
      <c r="G30" t="s">
        <v>50</v>
      </c>
      <c r="H30" s="1">
        <f>L4+L9+L14+L17+L25</f>
        <v>0</v>
      </c>
      <c r="I30" s="1">
        <f>M4+M9+M14+M17+M25</f>
        <v>0</v>
      </c>
    </row>
    <row r="31" spans="1:13" x14ac:dyDescent="0.25">
      <c r="G31" t="s">
        <v>51</v>
      </c>
      <c r="H31" s="1">
        <f>L6+L8+L13+L19+L23</f>
        <v>0</v>
      </c>
      <c r="I31" s="1">
        <f>M6+M8+M13+M19+M23</f>
        <v>0</v>
      </c>
    </row>
    <row r="32" spans="1:13" x14ac:dyDescent="0.25">
      <c r="G32" t="s">
        <v>52</v>
      </c>
      <c r="H32" s="1">
        <f>L3+L11+L16+L22+L26</f>
        <v>0</v>
      </c>
      <c r="I32" s="1">
        <f>M3+M11+M16+M22+M26</f>
        <v>0</v>
      </c>
    </row>
    <row r="33" spans="1:9" x14ac:dyDescent="0.25">
      <c r="G33" t="s">
        <v>53</v>
      </c>
      <c r="H33" s="1">
        <f>L7+L12+L15+L20+L24</f>
        <v>0</v>
      </c>
      <c r="I33" s="1">
        <f>M7+M12+M15+M20+M24</f>
        <v>0</v>
      </c>
    </row>
    <row r="34" spans="1:9" x14ac:dyDescent="0.25">
      <c r="G34" t="s">
        <v>54</v>
      </c>
      <c r="H34" s="1">
        <f>L2+L5+L10+L18+L21</f>
        <v>0</v>
      </c>
      <c r="I34" s="1">
        <f>M2+M5+M10+M18+M21</f>
        <v>0</v>
      </c>
    </row>
    <row r="36" spans="1:9" s="1" customFormat="1" x14ac:dyDescent="0.25">
      <c r="A36"/>
      <c r="G36" t="s">
        <v>55</v>
      </c>
    </row>
    <row r="37" spans="1:9" s="1" customFormat="1" x14ac:dyDescent="0.25">
      <c r="A37"/>
      <c r="B37"/>
      <c r="C37" s="6"/>
      <c r="D37"/>
      <c r="E37"/>
      <c r="F37" s="10"/>
      <c r="G37"/>
    </row>
    <row r="38" spans="1:9" s="1" customFormat="1" x14ac:dyDescent="0.25">
      <c r="A38"/>
      <c r="B38"/>
      <c r="C38" s="6"/>
      <c r="D38"/>
      <c r="E38"/>
      <c r="F38" s="10"/>
      <c r="G38"/>
    </row>
  </sheetData>
  <sheetProtection algorithmName="SHA-512" hashValue="ae2CKhZ2AML+gVxgzB4SUnEGPUngOeCVuUMZz3+sTWOBm8jbrJvUm3E0YBOCd/5knC0OxDYOVCUXYgL+molOvA==" saltValue="1oXsCuivC4YIEdjsWJDvOA==" spinCount="100000" sheet="1" objects="1" scenarios="1" formatColumns="0" selectLockedCells="1" selectUnlockedCells="1"/>
  <pageMargins left="0.7" right="0.7" top="0.75" bottom="0.75" header="0.3" footer="0.3"/>
  <pageSetup paperSize="9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7" r:id="rId4" name="Group Box 229">
              <controlPr defaultSize="0" autoFill="0" autoPict="0">
                <anchor moveWithCells="1">
                  <from>
                    <xdr:col>2</xdr:col>
                    <xdr:colOff>28575</xdr:colOff>
                    <xdr:row>1</xdr:row>
                    <xdr:rowOff>19050</xdr:rowOff>
                  </from>
                  <to>
                    <xdr:col>4</xdr:col>
                    <xdr:colOff>742950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5" name="Option Button 230">
              <controlPr defaultSize="0" autoFill="0" autoLine="0" autoPict="0">
                <anchor moveWithCells="1">
                  <from>
                    <xdr:col>2</xdr:col>
                    <xdr:colOff>276225</xdr:colOff>
                    <xdr:row>1</xdr:row>
                    <xdr:rowOff>19050</xdr:rowOff>
                  </from>
                  <to>
                    <xdr:col>2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6" name="Option Button 231">
              <controlPr defaultSize="0" autoFill="0" autoLine="0" autoPict="0">
                <anchor moveWithCells="1">
                  <from>
                    <xdr:col>3</xdr:col>
                    <xdr:colOff>276225</xdr:colOff>
                    <xdr:row>1</xdr:row>
                    <xdr:rowOff>28575</xdr:rowOff>
                  </from>
                  <to>
                    <xdr:col>3</xdr:col>
                    <xdr:colOff>561975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7" name="Option Button 232">
              <controlPr defaultSize="0" autoFill="0" autoLine="0" autoPict="0">
                <anchor moveWithCells="1">
                  <from>
                    <xdr:col>4</xdr:col>
                    <xdr:colOff>266700</xdr:colOff>
                    <xdr:row>1</xdr:row>
                    <xdr:rowOff>19050</xdr:rowOff>
                  </from>
                  <to>
                    <xdr:col>4</xdr:col>
                    <xdr:colOff>552450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8" name="Group Box 233">
              <controlPr defaultSize="0" autoFill="0" autoPict="0">
                <anchor moveWithCells="1">
                  <from>
                    <xdr:col>2</xdr:col>
                    <xdr:colOff>28575</xdr:colOff>
                    <xdr:row>2</xdr:row>
                    <xdr:rowOff>19050</xdr:rowOff>
                  </from>
                  <to>
                    <xdr:col>4</xdr:col>
                    <xdr:colOff>742950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9" name="Option Button 234">
              <controlPr defaultSize="0" autoFill="0" autoLine="0" autoPict="0">
                <anchor moveWithCells="1">
                  <from>
                    <xdr:col>2</xdr:col>
                    <xdr:colOff>276225</xdr:colOff>
                    <xdr:row>2</xdr:row>
                    <xdr:rowOff>19050</xdr:rowOff>
                  </from>
                  <to>
                    <xdr:col>2</xdr:col>
                    <xdr:colOff>561975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10" name="Option Button 235">
              <controlPr defaultSize="0" autoFill="0" autoLine="0" autoPict="0">
                <anchor moveWithCells="1">
                  <from>
                    <xdr:col>3</xdr:col>
                    <xdr:colOff>276225</xdr:colOff>
                    <xdr:row>2</xdr:row>
                    <xdr:rowOff>28575</xdr:rowOff>
                  </from>
                  <to>
                    <xdr:col>3</xdr:col>
                    <xdr:colOff>561975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11" name="Option Button 236">
              <controlPr defaultSize="0" autoFill="0" autoLine="0" autoPict="0">
                <anchor moveWithCells="1">
                  <from>
                    <xdr:col>4</xdr:col>
                    <xdr:colOff>266700</xdr:colOff>
                    <xdr:row>2</xdr:row>
                    <xdr:rowOff>19050</xdr:rowOff>
                  </from>
                  <to>
                    <xdr:col>4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12" name="Group Box 237">
              <controlPr defaultSize="0" autoFill="0" autoPict="0">
                <anchor moveWithCells="1">
                  <from>
                    <xdr:col>2</xdr:col>
                    <xdr:colOff>28575</xdr:colOff>
                    <xdr:row>3</xdr:row>
                    <xdr:rowOff>19050</xdr:rowOff>
                  </from>
                  <to>
                    <xdr:col>4</xdr:col>
                    <xdr:colOff>742950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13" name="Option Button 238">
              <controlPr defaultSize="0" autoFill="0" autoLine="0" autoPict="0">
                <anchor moveWithCells="1">
                  <from>
                    <xdr:col>2</xdr:col>
                    <xdr:colOff>276225</xdr:colOff>
                    <xdr:row>3</xdr:row>
                    <xdr:rowOff>19050</xdr:rowOff>
                  </from>
                  <to>
                    <xdr:col>2</xdr:col>
                    <xdr:colOff>561975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14" name="Option Button 239">
              <controlPr defaultSize="0" autoFill="0" autoLine="0" autoPict="0">
                <anchor moveWithCells="1">
                  <from>
                    <xdr:col>3</xdr:col>
                    <xdr:colOff>276225</xdr:colOff>
                    <xdr:row>3</xdr:row>
                    <xdr:rowOff>28575</xdr:rowOff>
                  </from>
                  <to>
                    <xdr:col>3</xdr:col>
                    <xdr:colOff>561975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15" name="Option Button 240">
              <controlPr defaultSize="0" autoFill="0" autoLine="0" autoPict="0">
                <anchor mov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4</xdr:col>
                    <xdr:colOff>552450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16" name="Group Box 241">
              <controlPr defaultSize="0" autoFill="0" autoPict="0">
                <anchor moveWithCells="1">
                  <from>
                    <xdr:col>2</xdr:col>
                    <xdr:colOff>28575</xdr:colOff>
                    <xdr:row>4</xdr:row>
                    <xdr:rowOff>19050</xdr:rowOff>
                  </from>
                  <to>
                    <xdr:col>4</xdr:col>
                    <xdr:colOff>742950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17" name="Option Button 242">
              <controlPr defaultSize="0" autoFill="0" autoLine="0" autoPict="0">
                <anchor moveWithCells="1">
                  <from>
                    <xdr:col>2</xdr:col>
                    <xdr:colOff>276225</xdr:colOff>
                    <xdr:row>4</xdr:row>
                    <xdr:rowOff>19050</xdr:rowOff>
                  </from>
                  <to>
                    <xdr:col>2</xdr:col>
                    <xdr:colOff>561975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18" name="Option Button 243">
              <controlPr defaultSize="0" autoFill="0" autoLine="0" autoPict="0">
                <anchor moveWithCells="1">
                  <from>
                    <xdr:col>3</xdr:col>
                    <xdr:colOff>276225</xdr:colOff>
                    <xdr:row>4</xdr:row>
                    <xdr:rowOff>28575</xdr:rowOff>
                  </from>
                  <to>
                    <xdr:col>3</xdr:col>
                    <xdr:colOff>561975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19" name="Option Button 244">
              <controlPr defaultSize="0" autoFill="0" autoLine="0" autoPict="0">
                <anchor moveWithCells="1">
                  <from>
                    <xdr:col>4</xdr:col>
                    <xdr:colOff>266700</xdr:colOff>
                    <xdr:row>4</xdr:row>
                    <xdr:rowOff>19050</xdr:rowOff>
                  </from>
                  <to>
                    <xdr:col>4</xdr:col>
                    <xdr:colOff>552450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0" name="Group Box 245">
              <controlPr defaultSize="0" autoFill="0" autoPict="0">
                <anchor moveWithCells="1">
                  <from>
                    <xdr:col>2</xdr:col>
                    <xdr:colOff>28575</xdr:colOff>
                    <xdr:row>5</xdr:row>
                    <xdr:rowOff>19050</xdr:rowOff>
                  </from>
                  <to>
                    <xdr:col>4</xdr:col>
                    <xdr:colOff>742950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1" name="Option Button 246">
              <controlPr defaultSize="0" autoFill="0" autoLine="0" autoPict="0">
                <anchor moveWithCells="1">
                  <from>
                    <xdr:col>2</xdr:col>
                    <xdr:colOff>276225</xdr:colOff>
                    <xdr:row>5</xdr:row>
                    <xdr:rowOff>19050</xdr:rowOff>
                  </from>
                  <to>
                    <xdr:col>2</xdr:col>
                    <xdr:colOff>561975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2" name="Option Button 247">
              <controlPr defaultSize="0" autoFill="0" autoLine="0" autoPict="0">
                <anchor moveWithCells="1">
                  <from>
                    <xdr:col>3</xdr:col>
                    <xdr:colOff>276225</xdr:colOff>
                    <xdr:row>5</xdr:row>
                    <xdr:rowOff>28575</xdr:rowOff>
                  </from>
                  <to>
                    <xdr:col>3</xdr:col>
                    <xdr:colOff>561975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" name="Option Button 248">
              <controlPr defaultSize="0" autoFill="0" autoLine="0" autoPict="0">
                <anchor moveWithCells="1">
                  <from>
                    <xdr:col>4</xdr:col>
                    <xdr:colOff>266700</xdr:colOff>
                    <xdr:row>5</xdr:row>
                    <xdr:rowOff>19050</xdr:rowOff>
                  </from>
                  <to>
                    <xdr:col>4</xdr:col>
                    <xdr:colOff>552450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4" name="Group Box 249">
              <controlPr defaultSize="0" autoFill="0" autoPict="0">
                <anchor moveWithCells="1">
                  <from>
                    <xdr:col>2</xdr:col>
                    <xdr:colOff>28575</xdr:colOff>
                    <xdr:row>6</xdr:row>
                    <xdr:rowOff>19050</xdr:rowOff>
                  </from>
                  <to>
                    <xdr:col>4</xdr:col>
                    <xdr:colOff>742950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" name="Option Button 250">
              <controlPr defaultSize="0" autoFill="0" autoLine="0" autoPict="0">
                <anchor moveWithCells="1">
                  <from>
                    <xdr:col>2</xdr:col>
                    <xdr:colOff>276225</xdr:colOff>
                    <xdr:row>6</xdr:row>
                    <xdr:rowOff>19050</xdr:rowOff>
                  </from>
                  <to>
                    <xdr:col>2</xdr:col>
                    <xdr:colOff>561975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6" name="Option Button 251">
              <controlPr defaultSize="0" autoFill="0" autoLine="0" autoPict="0">
                <anchor moveWithCells="1">
                  <from>
                    <xdr:col>3</xdr:col>
                    <xdr:colOff>276225</xdr:colOff>
                    <xdr:row>6</xdr:row>
                    <xdr:rowOff>28575</xdr:rowOff>
                  </from>
                  <to>
                    <xdr:col>3</xdr:col>
                    <xdr:colOff>561975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7" name="Option Button 252">
              <controlPr defaultSize="0" autoFill="0" autoLine="0" autoPict="0">
                <anchor moveWithCells="1">
                  <from>
                    <xdr:col>4</xdr:col>
                    <xdr:colOff>266700</xdr:colOff>
                    <xdr:row>6</xdr:row>
                    <xdr:rowOff>19050</xdr:rowOff>
                  </from>
                  <to>
                    <xdr:col>4</xdr:col>
                    <xdr:colOff>552450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8" name="Group Box 253">
              <controlPr defaultSize="0" autoFill="0" autoPict="0">
                <anchor moveWithCells="1">
                  <from>
                    <xdr:col>2</xdr:col>
                    <xdr:colOff>28575</xdr:colOff>
                    <xdr:row>7</xdr:row>
                    <xdr:rowOff>19050</xdr:rowOff>
                  </from>
                  <to>
                    <xdr:col>4</xdr:col>
                    <xdr:colOff>742950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9" name="Option Button 254">
              <controlPr defaultSize="0" autoFill="0" autoLine="0" autoPict="0">
                <anchor moveWithCells="1">
                  <from>
                    <xdr:col>2</xdr:col>
                    <xdr:colOff>276225</xdr:colOff>
                    <xdr:row>7</xdr:row>
                    <xdr:rowOff>19050</xdr:rowOff>
                  </from>
                  <to>
                    <xdr:col>2</xdr:col>
                    <xdr:colOff>561975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30" name="Option Button 255">
              <controlPr defaultSize="0" autoFill="0" autoLine="0" autoPict="0">
                <anchor moveWithCells="1">
                  <from>
                    <xdr:col>3</xdr:col>
                    <xdr:colOff>276225</xdr:colOff>
                    <xdr:row>7</xdr:row>
                    <xdr:rowOff>28575</xdr:rowOff>
                  </from>
                  <to>
                    <xdr:col>3</xdr:col>
                    <xdr:colOff>561975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31" name="Option Button 256">
              <controlPr defaultSize="0" autoFill="0" autoLine="0" autoPict="0">
                <anchor moveWithCells="1">
                  <from>
                    <xdr:col>4</xdr:col>
                    <xdr:colOff>266700</xdr:colOff>
                    <xdr:row>7</xdr:row>
                    <xdr:rowOff>19050</xdr:rowOff>
                  </from>
                  <to>
                    <xdr:col>4</xdr:col>
                    <xdr:colOff>552450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32" name="Group Box 257">
              <controlPr defaultSize="0" autoFill="0" autoPict="0">
                <anchor moveWithCells="1">
                  <from>
                    <xdr:col>2</xdr:col>
                    <xdr:colOff>28575</xdr:colOff>
                    <xdr:row>8</xdr:row>
                    <xdr:rowOff>19050</xdr:rowOff>
                  </from>
                  <to>
                    <xdr:col>4</xdr:col>
                    <xdr:colOff>742950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33" name="Option Button 258">
              <controlPr defaultSize="0" autoFill="0" autoLine="0" autoPict="0">
                <anchor moveWithCells="1">
                  <from>
                    <xdr:col>2</xdr:col>
                    <xdr:colOff>276225</xdr:colOff>
                    <xdr:row>8</xdr:row>
                    <xdr:rowOff>19050</xdr:rowOff>
                  </from>
                  <to>
                    <xdr:col>2</xdr:col>
                    <xdr:colOff>561975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34" name="Option Button 259">
              <controlPr defaultSize="0" autoFill="0" autoLine="0" autoPict="0">
                <anchor moveWithCells="1">
                  <from>
                    <xdr:col>3</xdr:col>
                    <xdr:colOff>276225</xdr:colOff>
                    <xdr:row>8</xdr:row>
                    <xdr:rowOff>28575</xdr:rowOff>
                  </from>
                  <to>
                    <xdr:col>3</xdr:col>
                    <xdr:colOff>561975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35" name="Option Button 260">
              <controlPr defaultSize="0" autoFill="0" autoLine="0" autoPict="0">
                <anchor moveWithCells="1">
                  <from>
                    <xdr:col>4</xdr:col>
                    <xdr:colOff>266700</xdr:colOff>
                    <xdr:row>8</xdr:row>
                    <xdr:rowOff>19050</xdr:rowOff>
                  </from>
                  <to>
                    <xdr:col>4</xdr:col>
                    <xdr:colOff>552450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36" name="Group Box 261">
              <controlPr defaultSize="0" autoFill="0" autoPict="0">
                <anchor moveWithCells="1">
                  <from>
                    <xdr:col>2</xdr:col>
                    <xdr:colOff>28575</xdr:colOff>
                    <xdr:row>9</xdr:row>
                    <xdr:rowOff>19050</xdr:rowOff>
                  </from>
                  <to>
                    <xdr:col>4</xdr:col>
                    <xdr:colOff>742950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37" name="Option Button 262">
              <controlPr defaultSize="0" autoFill="0" autoLine="0" autoPict="0">
                <anchor moveWithCells="1">
                  <from>
                    <xdr:col>2</xdr:col>
                    <xdr:colOff>276225</xdr:colOff>
                    <xdr:row>9</xdr:row>
                    <xdr:rowOff>19050</xdr:rowOff>
                  </from>
                  <to>
                    <xdr:col>2</xdr:col>
                    <xdr:colOff>561975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38" name="Option Button 263">
              <controlPr defaultSize="0" autoFill="0" autoLine="0" autoPict="0">
                <anchor moveWithCells="1">
                  <from>
                    <xdr:col>3</xdr:col>
                    <xdr:colOff>276225</xdr:colOff>
                    <xdr:row>9</xdr:row>
                    <xdr:rowOff>28575</xdr:rowOff>
                  </from>
                  <to>
                    <xdr:col>3</xdr:col>
                    <xdr:colOff>561975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39" name="Option Button 264">
              <controlPr defaultSize="0" autoFill="0" autoLine="0" autoPict="0">
                <anchor moveWithCells="1">
                  <from>
                    <xdr:col>4</xdr:col>
                    <xdr:colOff>266700</xdr:colOff>
                    <xdr:row>9</xdr:row>
                    <xdr:rowOff>19050</xdr:rowOff>
                  </from>
                  <to>
                    <xdr:col>4</xdr:col>
                    <xdr:colOff>552450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40" name="Group Box 265">
              <controlPr defaultSize="0" autoFill="0" autoPict="0">
                <anchor moveWithCells="1">
                  <from>
                    <xdr:col>2</xdr:col>
                    <xdr:colOff>28575</xdr:colOff>
                    <xdr:row>10</xdr:row>
                    <xdr:rowOff>19050</xdr:rowOff>
                  </from>
                  <to>
                    <xdr:col>4</xdr:col>
                    <xdr:colOff>742950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41" name="Option Button 266">
              <controlPr defaultSize="0" autoFill="0" autoLine="0" autoPict="0">
                <anchor moveWithCells="1">
                  <from>
                    <xdr:col>2</xdr:col>
                    <xdr:colOff>276225</xdr:colOff>
                    <xdr:row>10</xdr:row>
                    <xdr:rowOff>19050</xdr:rowOff>
                  </from>
                  <to>
                    <xdr:col>2</xdr:col>
                    <xdr:colOff>561975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42" name="Option Button 267">
              <controlPr defaultSize="0" autoFill="0" autoLine="0" autoPict="0">
                <anchor moveWithCells="1">
                  <from>
                    <xdr:col>3</xdr:col>
                    <xdr:colOff>276225</xdr:colOff>
                    <xdr:row>10</xdr:row>
                    <xdr:rowOff>28575</xdr:rowOff>
                  </from>
                  <to>
                    <xdr:col>3</xdr:col>
                    <xdr:colOff>561975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43" name="Option Button 268">
              <controlPr defaultSize="0" autoFill="0" autoLine="0" autoPict="0">
                <anchor moveWithCells="1">
                  <from>
                    <xdr:col>4</xdr:col>
                    <xdr:colOff>266700</xdr:colOff>
                    <xdr:row>10</xdr:row>
                    <xdr:rowOff>19050</xdr:rowOff>
                  </from>
                  <to>
                    <xdr:col>4</xdr:col>
                    <xdr:colOff>552450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44" name="Group Box 269">
              <controlPr defaultSize="0" autoFill="0" autoPict="0">
                <anchor moveWithCells="1">
                  <from>
                    <xdr:col>2</xdr:col>
                    <xdr:colOff>28575</xdr:colOff>
                    <xdr:row>11</xdr:row>
                    <xdr:rowOff>19050</xdr:rowOff>
                  </from>
                  <to>
                    <xdr:col>4</xdr:col>
                    <xdr:colOff>742950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45" name="Option Button 270">
              <controlPr defaultSize="0" autoFill="0" autoLine="0" autoPict="0">
                <anchor moveWithCells="1">
                  <from>
                    <xdr:col>2</xdr:col>
                    <xdr:colOff>276225</xdr:colOff>
                    <xdr:row>11</xdr:row>
                    <xdr:rowOff>19050</xdr:rowOff>
                  </from>
                  <to>
                    <xdr:col>2</xdr:col>
                    <xdr:colOff>561975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46" name="Option Button 271">
              <controlPr defaultSize="0" autoFill="0" autoLine="0" autoPict="0">
                <anchor moveWithCells="1">
                  <from>
                    <xdr:col>3</xdr:col>
                    <xdr:colOff>276225</xdr:colOff>
                    <xdr:row>11</xdr:row>
                    <xdr:rowOff>28575</xdr:rowOff>
                  </from>
                  <to>
                    <xdr:col>3</xdr:col>
                    <xdr:colOff>561975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47" name="Option Button 272">
              <controlPr defaultSize="0" autoFill="0" autoLine="0" autoPict="0">
                <anchor moveWithCells="1">
                  <from>
                    <xdr:col>4</xdr:col>
                    <xdr:colOff>266700</xdr:colOff>
                    <xdr:row>11</xdr:row>
                    <xdr:rowOff>19050</xdr:rowOff>
                  </from>
                  <to>
                    <xdr:col>4</xdr:col>
                    <xdr:colOff>552450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48" name="Group Box 273">
              <controlPr defaultSize="0" autoFill="0" autoPict="0">
                <anchor moveWithCells="1">
                  <from>
                    <xdr:col>2</xdr:col>
                    <xdr:colOff>28575</xdr:colOff>
                    <xdr:row>12</xdr:row>
                    <xdr:rowOff>19050</xdr:rowOff>
                  </from>
                  <to>
                    <xdr:col>4</xdr:col>
                    <xdr:colOff>742950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49" name="Option Button 274">
              <controlPr defaultSize="0" autoFill="0" autoLine="0" autoPict="0">
                <anchor moveWithCells="1">
                  <from>
                    <xdr:col>2</xdr:col>
                    <xdr:colOff>276225</xdr:colOff>
                    <xdr:row>12</xdr:row>
                    <xdr:rowOff>19050</xdr:rowOff>
                  </from>
                  <to>
                    <xdr:col>2</xdr:col>
                    <xdr:colOff>561975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50" name="Option Button 275">
              <controlPr defaultSize="0" autoFill="0" autoLine="0" autoPict="0">
                <anchor moveWithCells="1">
                  <from>
                    <xdr:col>3</xdr:col>
                    <xdr:colOff>276225</xdr:colOff>
                    <xdr:row>12</xdr:row>
                    <xdr:rowOff>28575</xdr:rowOff>
                  </from>
                  <to>
                    <xdr:col>3</xdr:col>
                    <xdr:colOff>561975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1" name="Option Button 276">
              <controlPr defaultSize="0" autoFill="0" autoLine="0" autoPict="0">
                <anchor moveWithCells="1">
                  <from>
                    <xdr:col>4</xdr:col>
                    <xdr:colOff>266700</xdr:colOff>
                    <xdr:row>12</xdr:row>
                    <xdr:rowOff>19050</xdr:rowOff>
                  </from>
                  <to>
                    <xdr:col>4</xdr:col>
                    <xdr:colOff>552450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52" name="Group Box 277">
              <controlPr defaultSize="0" autoFill="0" autoPict="0">
                <anchor moveWithCells="1">
                  <from>
                    <xdr:col>2</xdr:col>
                    <xdr:colOff>28575</xdr:colOff>
                    <xdr:row>13</xdr:row>
                    <xdr:rowOff>19050</xdr:rowOff>
                  </from>
                  <to>
                    <xdr:col>4</xdr:col>
                    <xdr:colOff>742950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53" name="Option Button 278">
              <controlPr defaultSize="0" autoFill="0" autoLine="0" autoPict="0">
                <anchor moveWithCells="1">
                  <from>
                    <xdr:col>2</xdr:col>
                    <xdr:colOff>276225</xdr:colOff>
                    <xdr:row>13</xdr:row>
                    <xdr:rowOff>19050</xdr:rowOff>
                  </from>
                  <to>
                    <xdr:col>2</xdr:col>
                    <xdr:colOff>561975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54" name="Option Button 279">
              <controlPr defaultSize="0" autoFill="0" autoLine="0" autoPict="0">
                <anchor moveWithCells="1">
                  <from>
                    <xdr:col>3</xdr:col>
                    <xdr:colOff>276225</xdr:colOff>
                    <xdr:row>13</xdr:row>
                    <xdr:rowOff>28575</xdr:rowOff>
                  </from>
                  <to>
                    <xdr:col>3</xdr:col>
                    <xdr:colOff>561975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55" name="Option Button 280">
              <controlPr defaultSize="0" autoFill="0" autoLine="0" autoPict="0">
                <anchor moveWithCells="1">
                  <from>
                    <xdr:col>4</xdr:col>
                    <xdr:colOff>266700</xdr:colOff>
                    <xdr:row>13</xdr:row>
                    <xdr:rowOff>19050</xdr:rowOff>
                  </from>
                  <to>
                    <xdr:col>4</xdr:col>
                    <xdr:colOff>552450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56" name="Group Box 281">
              <controlPr defaultSize="0" autoFill="0" autoPict="0">
                <anchor mov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4</xdr:col>
                    <xdr:colOff>742950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57" name="Option Button 282">
              <controlPr defaultSize="0" autoFill="0" autoLine="0" autoPict="0">
                <anchor moveWithCells="1">
                  <from>
                    <xdr:col>2</xdr:col>
                    <xdr:colOff>276225</xdr:colOff>
                    <xdr:row>14</xdr:row>
                    <xdr:rowOff>19050</xdr:rowOff>
                  </from>
                  <to>
                    <xdr:col>2</xdr:col>
                    <xdr:colOff>561975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58" name="Option Button 283">
              <controlPr defaultSize="0" autoFill="0" autoLine="0" autoPict="0">
                <anchor moveWithCells="1">
                  <from>
                    <xdr:col>3</xdr:col>
                    <xdr:colOff>276225</xdr:colOff>
                    <xdr:row>14</xdr:row>
                    <xdr:rowOff>28575</xdr:rowOff>
                  </from>
                  <to>
                    <xdr:col>3</xdr:col>
                    <xdr:colOff>561975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59" name="Option Button 284">
              <controlPr defaultSize="0" autoFill="0" autoLine="0" autoPict="0">
                <anchor moveWithCells="1">
                  <from>
                    <xdr:col>4</xdr:col>
                    <xdr:colOff>266700</xdr:colOff>
                    <xdr:row>14</xdr:row>
                    <xdr:rowOff>19050</xdr:rowOff>
                  </from>
                  <to>
                    <xdr:col>4</xdr:col>
                    <xdr:colOff>552450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60" name="Group Box 285">
              <controlPr defaultSize="0" autoFill="0" autoPict="0">
                <anchor moveWithCells="1">
                  <from>
                    <xdr:col>2</xdr:col>
                    <xdr:colOff>28575</xdr:colOff>
                    <xdr:row>15</xdr:row>
                    <xdr:rowOff>19050</xdr:rowOff>
                  </from>
                  <to>
                    <xdr:col>4</xdr:col>
                    <xdr:colOff>742950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61" name="Option Button 286">
              <controlPr defaultSize="0" autoFill="0" autoLine="0" autoPict="0">
                <anchor moveWithCells="1">
                  <from>
                    <xdr:col>2</xdr:col>
                    <xdr:colOff>276225</xdr:colOff>
                    <xdr:row>15</xdr:row>
                    <xdr:rowOff>19050</xdr:rowOff>
                  </from>
                  <to>
                    <xdr:col>2</xdr:col>
                    <xdr:colOff>561975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62" name="Option Button 287">
              <controlPr defaultSize="0" autoFill="0" autoLine="0" autoPict="0">
                <anchor moveWithCells="1">
                  <from>
                    <xdr:col>3</xdr:col>
                    <xdr:colOff>276225</xdr:colOff>
                    <xdr:row>15</xdr:row>
                    <xdr:rowOff>28575</xdr:rowOff>
                  </from>
                  <to>
                    <xdr:col>3</xdr:col>
                    <xdr:colOff>561975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63" name="Option Button 288">
              <controlPr defaultSize="0" autoFill="0" autoLine="0" autoPict="0">
                <anchor moveWithCells="1">
                  <from>
                    <xdr:col>4</xdr:col>
                    <xdr:colOff>266700</xdr:colOff>
                    <xdr:row>15</xdr:row>
                    <xdr:rowOff>19050</xdr:rowOff>
                  </from>
                  <to>
                    <xdr:col>4</xdr:col>
                    <xdr:colOff>552450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64" name="Group Box 289">
              <controlPr defaultSize="0" autoFill="0" autoPict="0">
                <anchor moveWithCells="1">
                  <from>
                    <xdr:col>2</xdr:col>
                    <xdr:colOff>28575</xdr:colOff>
                    <xdr:row>16</xdr:row>
                    <xdr:rowOff>19050</xdr:rowOff>
                  </from>
                  <to>
                    <xdr:col>4</xdr:col>
                    <xdr:colOff>742950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65" name="Option Button 290">
              <controlPr defaultSize="0" autoFill="0" autoLine="0" autoPict="0">
                <anchor moveWithCells="1">
                  <from>
                    <xdr:col>2</xdr:col>
                    <xdr:colOff>276225</xdr:colOff>
                    <xdr:row>16</xdr:row>
                    <xdr:rowOff>19050</xdr:rowOff>
                  </from>
                  <to>
                    <xdr:col>2</xdr:col>
                    <xdr:colOff>561975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66" name="Option Button 291">
              <controlPr defaultSize="0" autoFill="0" autoLine="0" autoPict="0">
                <anchor moveWithCells="1">
                  <from>
                    <xdr:col>3</xdr:col>
                    <xdr:colOff>276225</xdr:colOff>
                    <xdr:row>16</xdr:row>
                    <xdr:rowOff>28575</xdr:rowOff>
                  </from>
                  <to>
                    <xdr:col>3</xdr:col>
                    <xdr:colOff>561975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67" name="Option Button 292">
              <controlPr defaultSize="0" autoFill="0" autoLine="0" autoPict="0">
                <anchor moveWithCells="1">
                  <from>
                    <xdr:col>4</xdr:col>
                    <xdr:colOff>266700</xdr:colOff>
                    <xdr:row>16</xdr:row>
                    <xdr:rowOff>19050</xdr:rowOff>
                  </from>
                  <to>
                    <xdr:col>4</xdr:col>
                    <xdr:colOff>552450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68" name="Group Box 293">
              <controlPr defaultSize="0" autoFill="0" autoPict="0">
                <anchor moveWithCells="1">
                  <from>
                    <xdr:col>2</xdr:col>
                    <xdr:colOff>28575</xdr:colOff>
                    <xdr:row>17</xdr:row>
                    <xdr:rowOff>19050</xdr:rowOff>
                  </from>
                  <to>
                    <xdr:col>4</xdr:col>
                    <xdr:colOff>742950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69" name="Option Button 294">
              <controlPr defaultSize="0" autoFill="0" autoLine="0" autoPict="0">
                <anchor moveWithCells="1">
                  <from>
                    <xdr:col>2</xdr:col>
                    <xdr:colOff>276225</xdr:colOff>
                    <xdr:row>17</xdr:row>
                    <xdr:rowOff>19050</xdr:rowOff>
                  </from>
                  <to>
                    <xdr:col>2</xdr:col>
                    <xdr:colOff>561975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70" name="Option Button 295">
              <controlPr defaultSize="0" autoFill="0" autoLine="0" autoPict="0">
                <anchor moveWithCells="1">
                  <from>
                    <xdr:col>3</xdr:col>
                    <xdr:colOff>276225</xdr:colOff>
                    <xdr:row>17</xdr:row>
                    <xdr:rowOff>28575</xdr:rowOff>
                  </from>
                  <to>
                    <xdr:col>3</xdr:col>
                    <xdr:colOff>561975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71" name="Option Button 296">
              <controlPr defaultSize="0" autoFill="0" autoLine="0" autoPict="0">
                <anchor moveWithCells="1">
                  <from>
                    <xdr:col>4</xdr:col>
                    <xdr:colOff>266700</xdr:colOff>
                    <xdr:row>17</xdr:row>
                    <xdr:rowOff>19050</xdr:rowOff>
                  </from>
                  <to>
                    <xdr:col>4</xdr:col>
                    <xdr:colOff>552450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72" name="Group Box 297">
              <controlPr defaultSize="0" autoFill="0" autoPict="0">
                <anchor moveWithCells="1">
                  <from>
                    <xdr:col>2</xdr:col>
                    <xdr:colOff>28575</xdr:colOff>
                    <xdr:row>18</xdr:row>
                    <xdr:rowOff>19050</xdr:rowOff>
                  </from>
                  <to>
                    <xdr:col>4</xdr:col>
                    <xdr:colOff>742950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73" name="Option Button 298">
              <controlPr defaultSize="0" autoFill="0" autoLine="0" autoPict="0">
                <anchor moveWithCells="1">
                  <from>
                    <xdr:col>2</xdr:col>
                    <xdr:colOff>276225</xdr:colOff>
                    <xdr:row>18</xdr:row>
                    <xdr:rowOff>19050</xdr:rowOff>
                  </from>
                  <to>
                    <xdr:col>2</xdr:col>
                    <xdr:colOff>561975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74" name="Option Button 299">
              <controlPr defaultSize="0" autoFill="0" autoLine="0" autoPict="0">
                <anchor moveWithCells="1">
                  <from>
                    <xdr:col>3</xdr:col>
                    <xdr:colOff>276225</xdr:colOff>
                    <xdr:row>18</xdr:row>
                    <xdr:rowOff>28575</xdr:rowOff>
                  </from>
                  <to>
                    <xdr:col>3</xdr:col>
                    <xdr:colOff>561975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75" name="Option Button 300">
              <controlPr defaultSize="0" autoFill="0" autoLine="0" autoPict="0">
                <anchor moveWithCells="1">
                  <from>
                    <xdr:col>4</xdr:col>
                    <xdr:colOff>266700</xdr:colOff>
                    <xdr:row>18</xdr:row>
                    <xdr:rowOff>19050</xdr:rowOff>
                  </from>
                  <to>
                    <xdr:col>4</xdr:col>
                    <xdr:colOff>552450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76" name="Group Box 301">
              <controlPr defaultSize="0" autoFill="0" autoPict="0">
                <anchor moveWithCells="1">
                  <from>
                    <xdr:col>2</xdr:col>
                    <xdr:colOff>28575</xdr:colOff>
                    <xdr:row>19</xdr:row>
                    <xdr:rowOff>19050</xdr:rowOff>
                  </from>
                  <to>
                    <xdr:col>4</xdr:col>
                    <xdr:colOff>742950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77" name="Option Button 302">
              <controlPr defaultSize="0" autoFill="0" autoLine="0" autoPict="0">
                <anchor moveWithCells="1">
                  <from>
                    <xdr:col>2</xdr:col>
                    <xdr:colOff>276225</xdr:colOff>
                    <xdr:row>19</xdr:row>
                    <xdr:rowOff>19050</xdr:rowOff>
                  </from>
                  <to>
                    <xdr:col>2</xdr:col>
                    <xdr:colOff>561975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78" name="Option Button 303">
              <controlPr defaultSize="0" autoFill="0" autoLine="0" autoPict="0">
                <anchor moveWithCells="1">
                  <from>
                    <xdr:col>3</xdr:col>
                    <xdr:colOff>276225</xdr:colOff>
                    <xdr:row>19</xdr:row>
                    <xdr:rowOff>28575</xdr:rowOff>
                  </from>
                  <to>
                    <xdr:col>3</xdr:col>
                    <xdr:colOff>561975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79" name="Option Button 304">
              <controlPr defaultSize="0" autoFill="0" autoLine="0" autoPict="0">
                <anchor moveWithCells="1">
                  <from>
                    <xdr:col>4</xdr:col>
                    <xdr:colOff>266700</xdr:colOff>
                    <xdr:row>19</xdr:row>
                    <xdr:rowOff>19050</xdr:rowOff>
                  </from>
                  <to>
                    <xdr:col>4</xdr:col>
                    <xdr:colOff>552450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80" name="Group Box 305">
              <controlPr defaultSize="0" autoFill="0" autoPict="0">
                <anchor moveWithCells="1">
                  <from>
                    <xdr:col>2</xdr:col>
                    <xdr:colOff>28575</xdr:colOff>
                    <xdr:row>20</xdr:row>
                    <xdr:rowOff>19050</xdr:rowOff>
                  </from>
                  <to>
                    <xdr:col>4</xdr:col>
                    <xdr:colOff>742950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81" name="Option Button 306">
              <controlPr defaultSize="0" autoFill="0" autoLine="0" autoPict="0">
                <anchor moveWithCells="1">
                  <from>
                    <xdr:col>2</xdr:col>
                    <xdr:colOff>276225</xdr:colOff>
                    <xdr:row>20</xdr:row>
                    <xdr:rowOff>19050</xdr:rowOff>
                  </from>
                  <to>
                    <xdr:col>2</xdr:col>
                    <xdr:colOff>561975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82" name="Option Button 307">
              <controlPr defaultSize="0" autoFill="0" autoLine="0" autoPict="0">
                <anchor moveWithCells="1">
                  <from>
                    <xdr:col>3</xdr:col>
                    <xdr:colOff>276225</xdr:colOff>
                    <xdr:row>20</xdr:row>
                    <xdr:rowOff>28575</xdr:rowOff>
                  </from>
                  <to>
                    <xdr:col>3</xdr:col>
                    <xdr:colOff>561975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83" name="Option Button 308">
              <controlPr defaultSize="0" autoFill="0" autoLine="0" autoPict="0">
                <anchor moveWithCells="1">
                  <from>
                    <xdr:col>4</xdr:col>
                    <xdr:colOff>266700</xdr:colOff>
                    <xdr:row>20</xdr:row>
                    <xdr:rowOff>19050</xdr:rowOff>
                  </from>
                  <to>
                    <xdr:col>4</xdr:col>
                    <xdr:colOff>552450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84" name="Group Box 309">
              <controlPr defaultSize="0" autoFill="0" autoPict="0">
                <anchor moveWithCells="1">
                  <from>
                    <xdr:col>2</xdr:col>
                    <xdr:colOff>28575</xdr:colOff>
                    <xdr:row>21</xdr:row>
                    <xdr:rowOff>19050</xdr:rowOff>
                  </from>
                  <to>
                    <xdr:col>4</xdr:col>
                    <xdr:colOff>742950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85" name="Option Button 310">
              <controlPr defaultSize="0" autoFill="0" autoLine="0" autoPict="0">
                <anchor moveWithCells="1">
                  <from>
                    <xdr:col>2</xdr:col>
                    <xdr:colOff>276225</xdr:colOff>
                    <xdr:row>21</xdr:row>
                    <xdr:rowOff>19050</xdr:rowOff>
                  </from>
                  <to>
                    <xdr:col>2</xdr:col>
                    <xdr:colOff>561975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86" name="Option Button 311">
              <controlPr defaultSize="0" autoFill="0" autoLine="0" autoPict="0">
                <anchor moveWithCells="1">
                  <from>
                    <xdr:col>3</xdr:col>
                    <xdr:colOff>276225</xdr:colOff>
                    <xdr:row>21</xdr:row>
                    <xdr:rowOff>28575</xdr:rowOff>
                  </from>
                  <to>
                    <xdr:col>3</xdr:col>
                    <xdr:colOff>561975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87" name="Option Button 312">
              <controlPr defaultSize="0" autoFill="0" autoLine="0" autoPict="0">
                <anchor moveWithCells="1">
                  <from>
                    <xdr:col>4</xdr:col>
                    <xdr:colOff>266700</xdr:colOff>
                    <xdr:row>21</xdr:row>
                    <xdr:rowOff>19050</xdr:rowOff>
                  </from>
                  <to>
                    <xdr:col>4</xdr:col>
                    <xdr:colOff>552450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88" name="Group Box 313">
              <controlPr defaultSize="0" autoFill="0" autoPict="0">
                <anchor moveWithCells="1">
                  <from>
                    <xdr:col>2</xdr:col>
                    <xdr:colOff>28575</xdr:colOff>
                    <xdr:row>22</xdr:row>
                    <xdr:rowOff>19050</xdr:rowOff>
                  </from>
                  <to>
                    <xdr:col>4</xdr:col>
                    <xdr:colOff>742950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89" name="Option Button 314">
              <controlPr defaultSize="0" autoFill="0" autoLine="0" autoPict="0">
                <anchor moveWithCells="1">
                  <from>
                    <xdr:col>2</xdr:col>
                    <xdr:colOff>276225</xdr:colOff>
                    <xdr:row>22</xdr:row>
                    <xdr:rowOff>19050</xdr:rowOff>
                  </from>
                  <to>
                    <xdr:col>2</xdr:col>
                    <xdr:colOff>561975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90" name="Option Button 315">
              <controlPr defaultSize="0" autoFill="0" autoLine="0" autoPict="0">
                <anchor moveWithCells="1">
                  <from>
                    <xdr:col>3</xdr:col>
                    <xdr:colOff>276225</xdr:colOff>
                    <xdr:row>22</xdr:row>
                    <xdr:rowOff>28575</xdr:rowOff>
                  </from>
                  <to>
                    <xdr:col>3</xdr:col>
                    <xdr:colOff>561975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91" name="Option Button 316">
              <controlPr defaultSize="0" autoFill="0" autoLine="0" autoPict="0">
                <anchor moveWithCells="1">
                  <from>
                    <xdr:col>4</xdr:col>
                    <xdr:colOff>266700</xdr:colOff>
                    <xdr:row>22</xdr:row>
                    <xdr:rowOff>19050</xdr:rowOff>
                  </from>
                  <to>
                    <xdr:col>4</xdr:col>
                    <xdr:colOff>552450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92" name="Group Box 317">
              <controlPr defaultSize="0" autoFill="0" autoPict="0">
                <anchor moveWithCells="1">
                  <from>
                    <xdr:col>2</xdr:col>
                    <xdr:colOff>28575</xdr:colOff>
                    <xdr:row>23</xdr:row>
                    <xdr:rowOff>19050</xdr:rowOff>
                  </from>
                  <to>
                    <xdr:col>4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93" name="Option Button 318">
              <controlPr defaultSize="0" autoFill="0" autoLine="0" autoPict="0">
                <anchor moveWithCells="1">
                  <from>
                    <xdr:col>2</xdr:col>
                    <xdr:colOff>276225</xdr:colOff>
                    <xdr:row>23</xdr:row>
                    <xdr:rowOff>19050</xdr:rowOff>
                  </from>
                  <to>
                    <xdr:col>2</xdr:col>
                    <xdr:colOff>561975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94" name="Option Button 319">
              <controlPr defaultSize="0" autoFill="0" autoLine="0" autoPict="0">
                <anchor moveWithCells="1">
                  <from>
                    <xdr:col>3</xdr:col>
                    <xdr:colOff>276225</xdr:colOff>
                    <xdr:row>23</xdr:row>
                    <xdr:rowOff>28575</xdr:rowOff>
                  </from>
                  <to>
                    <xdr:col>3</xdr:col>
                    <xdr:colOff>561975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95" name="Option Button 320">
              <controlPr defaultSize="0" autoFill="0" autoLine="0" autoPict="0">
                <anchor moveWithCells="1">
                  <from>
                    <xdr:col>4</xdr:col>
                    <xdr:colOff>266700</xdr:colOff>
                    <xdr:row>23</xdr:row>
                    <xdr:rowOff>19050</xdr:rowOff>
                  </from>
                  <to>
                    <xdr:col>4</xdr:col>
                    <xdr:colOff>552450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96" name="Group Box 321">
              <controlPr defaultSize="0" autoFill="0" autoPict="0">
                <anchor moveWithCells="1">
                  <from>
                    <xdr:col>2</xdr:col>
                    <xdr:colOff>28575</xdr:colOff>
                    <xdr:row>24</xdr:row>
                    <xdr:rowOff>19050</xdr:rowOff>
                  </from>
                  <to>
                    <xdr:col>4</xdr:col>
                    <xdr:colOff>742950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97" name="Option Button 322">
              <controlPr defaultSize="0" autoFill="0" autoLine="0" autoPict="0">
                <anchor moveWithCells="1">
                  <from>
                    <xdr:col>2</xdr:col>
                    <xdr:colOff>276225</xdr:colOff>
                    <xdr:row>24</xdr:row>
                    <xdr:rowOff>19050</xdr:rowOff>
                  </from>
                  <to>
                    <xdr:col>2</xdr:col>
                    <xdr:colOff>561975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98" name="Option Button 323">
              <controlPr defaultSize="0" autoFill="0" autoLine="0" autoPict="0">
                <anchor moveWithCells="1">
                  <from>
                    <xdr:col>3</xdr:col>
                    <xdr:colOff>276225</xdr:colOff>
                    <xdr:row>24</xdr:row>
                    <xdr:rowOff>28575</xdr:rowOff>
                  </from>
                  <to>
                    <xdr:col>3</xdr:col>
                    <xdr:colOff>561975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99" name="Option Button 324">
              <controlPr defaultSize="0" autoFill="0" autoLine="0" autoPict="0">
                <anchor moveWithCells="1">
                  <from>
                    <xdr:col>4</xdr:col>
                    <xdr:colOff>266700</xdr:colOff>
                    <xdr:row>24</xdr:row>
                    <xdr:rowOff>19050</xdr:rowOff>
                  </from>
                  <to>
                    <xdr:col>4</xdr:col>
                    <xdr:colOff>552450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100" name="Group Box 325">
              <controlPr defaultSize="0" autoFill="0" autoPict="0">
                <anchor moveWithCells="1">
                  <from>
                    <xdr:col>2</xdr:col>
                    <xdr:colOff>28575</xdr:colOff>
                    <xdr:row>25</xdr:row>
                    <xdr:rowOff>19050</xdr:rowOff>
                  </from>
                  <to>
                    <xdr:col>4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101" name="Option Button 326">
              <controlPr defaultSize="0" autoFill="0" autoLine="0" autoPict="0">
                <anchor moveWithCells="1">
                  <from>
                    <xdr:col>2</xdr:col>
                    <xdr:colOff>276225</xdr:colOff>
                    <xdr:row>25</xdr:row>
                    <xdr:rowOff>19050</xdr:rowOff>
                  </from>
                  <to>
                    <xdr:col>2</xdr:col>
                    <xdr:colOff>561975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102" name="Option Button 327">
              <controlPr defaultSize="0" autoFill="0" autoLine="0" autoPict="0">
                <anchor moveWithCells="1">
                  <from>
                    <xdr:col>3</xdr:col>
                    <xdr:colOff>276225</xdr:colOff>
                    <xdr:row>25</xdr:row>
                    <xdr:rowOff>28575</xdr:rowOff>
                  </from>
                  <to>
                    <xdr:col>3</xdr:col>
                    <xdr:colOff>561975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103" name="Option Button 328">
              <controlPr defaultSize="0" autoFill="0" autoLine="0" autoPict="0">
                <anchor moveWithCells="1">
                  <from>
                    <xdr:col>4</xdr:col>
                    <xdr:colOff>266700</xdr:colOff>
                    <xdr:row>25</xdr:row>
                    <xdr:rowOff>19050</xdr:rowOff>
                  </from>
                  <to>
                    <xdr:col>4</xdr:col>
                    <xdr:colOff>552450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104" name="Button 332">
              <controlPr defaultSize="0" print="0" autoFill="0" autoPict="0" macro="[0]!ResetQuestionnaire">
                <anchor moveWithCells="1" sizeWithCells="1">
                  <from>
                    <xdr:col>0</xdr:col>
                    <xdr:colOff>76200</xdr:colOff>
                    <xdr:row>0</xdr:row>
                    <xdr:rowOff>57150</xdr:rowOff>
                  </from>
                  <to>
                    <xdr:col>1</xdr:col>
                    <xdr:colOff>2438400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105" name="Button 333">
              <controlPr defaultSize="0" print="0" autoFill="0" autoPict="0" macro="[0]!Results">
                <anchor moveWithCells="1" sizeWithCells="1">
                  <from>
                    <xdr:col>2</xdr:col>
                    <xdr:colOff>114300</xdr:colOff>
                    <xdr:row>26</xdr:row>
                    <xdr:rowOff>133350</xdr:rowOff>
                  </from>
                  <to>
                    <xdr:col>4</xdr:col>
                    <xdr:colOff>619125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106" name="Drop Down 334">
              <controlPr defaultSize="0" autoLine="0" autoPict="0">
                <anchor moveWithCells="1">
                  <from>
                    <xdr:col>1</xdr:col>
                    <xdr:colOff>2619375</xdr:colOff>
                    <xdr:row>0</xdr:row>
                    <xdr:rowOff>95250</xdr:rowOff>
                  </from>
                  <to>
                    <xdr:col>1</xdr:col>
                    <xdr:colOff>3943350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2:F14"/>
  <sheetViews>
    <sheetView showGridLines="0" workbookViewId="0">
      <selection activeCell="D23" sqref="D23"/>
    </sheetView>
  </sheetViews>
  <sheetFormatPr defaultRowHeight="15" x14ac:dyDescent="0.25"/>
  <cols>
    <col min="2" max="2" width="19.140625" bestFit="1" customWidth="1"/>
    <col min="6" max="6" width="39.42578125" customWidth="1"/>
  </cols>
  <sheetData>
    <row r="2" spans="2:6" x14ac:dyDescent="0.25">
      <c r="B2" s="17" t="s">
        <v>112</v>
      </c>
      <c r="C2" s="18"/>
      <c r="D2" s="19" t="str">
        <f>IF(Questionnaire!H28=1,IF(Questionnaire!I30&gt;=6,ROUND(10*Questionnaire!H30/Questionnaire!I30,0),"N"),"")</f>
        <v/>
      </c>
      <c r="E2" s="18"/>
      <c r="F2" s="20" t="str">
        <f ca="1">IF(D2="","",IF(D2="N","Not enough data",VLOOKUP(D2,INDIRECT(Questionnaire!$K$28&amp;"_"&amp;Questionnaire!$G30),2,TRUE)))</f>
        <v/>
      </c>
    </row>
    <row r="3" spans="2:6" x14ac:dyDescent="0.25">
      <c r="B3" s="7"/>
      <c r="D3" s="6"/>
      <c r="F3" s="10"/>
    </row>
    <row r="4" spans="2:6" x14ac:dyDescent="0.25">
      <c r="B4" s="17" t="s">
        <v>113</v>
      </c>
      <c r="C4" s="18"/>
      <c r="D4" s="19" t="str">
        <f>IF(Questionnaire!H28=1,IF(Questionnaire!I31&gt;=6,ROUND(10*Questionnaire!H31/Questionnaire!I31,0),"N"),"")</f>
        <v/>
      </c>
      <c r="E4" s="18"/>
      <c r="F4" s="20" t="str">
        <f ca="1">IF(D4="","",IF(D4="N","Not enough data",VLOOKUP(D4,INDIRECT(Questionnaire!$K$28&amp;"_"&amp;Questionnaire!$G31),2,TRUE)))</f>
        <v/>
      </c>
    </row>
    <row r="5" spans="2:6" x14ac:dyDescent="0.25">
      <c r="B5" s="7"/>
      <c r="D5" s="6"/>
      <c r="F5" s="10"/>
    </row>
    <row r="6" spans="2:6" x14ac:dyDescent="0.25">
      <c r="B6" s="17" t="s">
        <v>114</v>
      </c>
      <c r="C6" s="18"/>
      <c r="D6" s="19" t="str">
        <f>IF(Questionnaire!H28=1,IF(Questionnaire!I32&gt;=6,ROUND(10*Questionnaire!H32/Questionnaire!I32,0),"N"),"")</f>
        <v/>
      </c>
      <c r="E6" s="18"/>
      <c r="F6" s="20" t="str">
        <f ca="1">IF(D6="","",IF(D6="N","Not enough data",VLOOKUP(D6,INDIRECT(Questionnaire!$K$28&amp;"_"&amp;Questionnaire!$G32),2,TRUE)))</f>
        <v/>
      </c>
    </row>
    <row r="7" spans="2:6" x14ac:dyDescent="0.25">
      <c r="B7" s="7"/>
      <c r="D7" s="6"/>
      <c r="F7" s="10"/>
    </row>
    <row r="8" spans="2:6" x14ac:dyDescent="0.25">
      <c r="B8" s="17" t="s">
        <v>115</v>
      </c>
      <c r="C8" s="18"/>
      <c r="D8" s="19" t="str">
        <f>IF(Questionnaire!H28=1,IF(Questionnaire!I33&gt;=6,ROUND(10*Questionnaire!H33/Questionnaire!I33,0),"N"),"")</f>
        <v/>
      </c>
      <c r="E8" s="18"/>
      <c r="F8" s="20" t="str">
        <f ca="1">IF(D8="","",IF(D8="N","Not enough data",VLOOKUP(D8,INDIRECT(Questionnaire!$K$28&amp;"_"&amp;Questionnaire!$G33),2,TRUE)))</f>
        <v/>
      </c>
    </row>
    <row r="9" spans="2:6" x14ac:dyDescent="0.25">
      <c r="B9" s="7"/>
      <c r="D9" s="6"/>
      <c r="F9" s="10"/>
    </row>
    <row r="10" spans="2:6" x14ac:dyDescent="0.25">
      <c r="B10" s="17" t="s">
        <v>116</v>
      </c>
      <c r="C10" s="18"/>
      <c r="D10" s="19" t="str">
        <f>IF(Questionnaire!H28=1,IF(Questionnaire!I34&gt;=6,ROUND(10*Questionnaire!H34/Questionnaire!I34,0),"N"),"")</f>
        <v/>
      </c>
      <c r="E10" s="18"/>
      <c r="F10" s="20" t="str">
        <f ca="1">IF(D10="","",IF(D10="N","Not enough data",VLOOKUP(D10,INDIRECT(Questionnaire!$K$28&amp;"_"&amp;Questionnaire!$G34),2,TRUE)))</f>
        <v/>
      </c>
    </row>
    <row r="11" spans="2:6" x14ac:dyDescent="0.25">
      <c r="B11" s="7"/>
      <c r="F11" s="10"/>
    </row>
    <row r="12" spans="2:6" x14ac:dyDescent="0.25">
      <c r="B12" s="7"/>
      <c r="F12" s="10"/>
    </row>
    <row r="13" spans="2:6" x14ac:dyDescent="0.25">
      <c r="B13" s="7"/>
      <c r="F13" s="10"/>
    </row>
    <row r="14" spans="2:6" x14ac:dyDescent="0.25">
      <c r="B14" s="17" t="s">
        <v>111</v>
      </c>
      <c r="C14" s="21"/>
      <c r="D14" s="19" t="str">
        <f>IF(Questionnaire!H28=1,IF(COUNTIF(D$2:D$8,"N")&gt;0,"N",SUM(D$2:D$8)),"")</f>
        <v/>
      </c>
      <c r="E14" s="18"/>
      <c r="F14" s="20" t="str">
        <f ca="1">IF(D14="","",IF(D14="N","Not enough data",VLOOKUP(D14,INDIRECT(Questionnaire!$K$28&amp;"_"&amp;Questionnaire!$G36),2,TRUE)))</f>
        <v/>
      </c>
    </row>
  </sheetData>
  <sheetProtection selectLockedCells="1" selectUnlockedCells="1"/>
  <pageMargins left="0.7" right="0.7" top="0.75" bottom="0.75" header="0.3" footer="0.3"/>
  <pageSetup paperSize="9" scale="9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turnQuestionnaire">
                <anchor moveWithCells="1" sizeWithCells="1">
                  <from>
                    <xdr:col>3</xdr:col>
                    <xdr:colOff>0</xdr:colOff>
                    <xdr:row>15</xdr:row>
                    <xdr:rowOff>114300</xdr:rowOff>
                  </from>
                  <to>
                    <xdr:col>5</xdr:col>
                    <xdr:colOff>514350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43"/>
  <sheetViews>
    <sheetView workbookViewId="0">
      <selection activeCell="K4" sqref="K4"/>
    </sheetView>
  </sheetViews>
  <sheetFormatPr defaultRowHeight="15" x14ac:dyDescent="0.25"/>
  <cols>
    <col min="2" max="2" width="6" style="1" customWidth="1"/>
    <col min="3" max="3" width="27.28515625" bestFit="1" customWidth="1"/>
    <col min="5" max="5" width="6" style="1" customWidth="1"/>
    <col min="6" max="6" width="28.42578125" bestFit="1" customWidth="1"/>
    <col min="8" max="8" width="6" style="1" customWidth="1"/>
    <col min="9" max="9" width="35.42578125" bestFit="1" customWidth="1"/>
    <col min="11" max="12" width="4.7109375" style="1" customWidth="1"/>
  </cols>
  <sheetData>
    <row r="2" spans="2:13" x14ac:dyDescent="0.25">
      <c r="C2" s="7" t="s">
        <v>28</v>
      </c>
      <c r="F2" s="7" t="s">
        <v>35</v>
      </c>
      <c r="I2" s="7" t="s">
        <v>42</v>
      </c>
      <c r="K2" s="1" t="s">
        <v>109</v>
      </c>
      <c r="L2" s="11">
        <v>1</v>
      </c>
      <c r="M2" s="12" t="s">
        <v>49</v>
      </c>
    </row>
    <row r="3" spans="2:13" x14ac:dyDescent="0.25">
      <c r="B3" s="1">
        <v>0</v>
      </c>
      <c r="C3" t="s">
        <v>56</v>
      </c>
      <c r="E3" s="1">
        <v>0</v>
      </c>
      <c r="F3" t="s">
        <v>57</v>
      </c>
      <c r="H3" s="1">
        <v>0</v>
      </c>
      <c r="I3" t="s">
        <v>58</v>
      </c>
      <c r="K3" s="1" t="s">
        <v>110</v>
      </c>
      <c r="L3" s="13">
        <v>2</v>
      </c>
      <c r="M3" s="14" t="s">
        <v>107</v>
      </c>
    </row>
    <row r="4" spans="2:13" x14ac:dyDescent="0.25">
      <c r="B4" s="1">
        <v>14</v>
      </c>
      <c r="C4" t="s">
        <v>59</v>
      </c>
      <c r="E4" s="1">
        <v>12</v>
      </c>
      <c r="F4" t="s">
        <v>60</v>
      </c>
      <c r="H4" s="1">
        <v>15</v>
      </c>
      <c r="I4" t="s">
        <v>61</v>
      </c>
      <c r="K4" s="1" t="s">
        <v>106</v>
      </c>
      <c r="L4" s="15">
        <v>3</v>
      </c>
      <c r="M4" s="16" t="s">
        <v>108</v>
      </c>
    </row>
    <row r="5" spans="2:13" x14ac:dyDescent="0.25">
      <c r="B5" s="1">
        <v>17</v>
      </c>
      <c r="C5" t="s">
        <v>62</v>
      </c>
      <c r="E5" s="1">
        <v>16</v>
      </c>
      <c r="F5" t="s">
        <v>63</v>
      </c>
      <c r="H5" s="1">
        <v>18</v>
      </c>
      <c r="I5" t="s">
        <v>64</v>
      </c>
    </row>
    <row r="6" spans="2:13" x14ac:dyDescent="0.25">
      <c r="B6" s="1">
        <v>20</v>
      </c>
      <c r="C6" t="s">
        <v>65</v>
      </c>
      <c r="E6" s="1">
        <v>19</v>
      </c>
      <c r="F6" t="s">
        <v>66</v>
      </c>
      <c r="H6" s="1">
        <v>20</v>
      </c>
      <c r="I6" t="s">
        <v>65</v>
      </c>
    </row>
    <row r="7" spans="2:13" x14ac:dyDescent="0.25">
      <c r="B7" s="1">
        <v>41</v>
      </c>
      <c r="E7" s="1">
        <v>41</v>
      </c>
      <c r="H7" s="1">
        <v>41</v>
      </c>
    </row>
    <row r="8" spans="2:13" x14ac:dyDescent="0.25">
      <c r="C8" s="7" t="s">
        <v>29</v>
      </c>
      <c r="F8" s="7" t="s">
        <v>36</v>
      </c>
      <c r="I8" s="7" t="s">
        <v>43</v>
      </c>
    </row>
    <row r="9" spans="2:13" x14ac:dyDescent="0.25">
      <c r="B9" s="1">
        <v>0</v>
      </c>
      <c r="C9" t="s">
        <v>67</v>
      </c>
      <c r="E9" s="1">
        <v>0</v>
      </c>
      <c r="F9" t="s">
        <v>67</v>
      </c>
      <c r="H9" s="1">
        <v>0</v>
      </c>
      <c r="I9" t="s">
        <v>68</v>
      </c>
    </row>
    <row r="10" spans="2:13" x14ac:dyDescent="0.25">
      <c r="B10" s="1">
        <v>4</v>
      </c>
      <c r="C10" t="s">
        <v>88</v>
      </c>
      <c r="E10" s="1">
        <v>4</v>
      </c>
      <c r="F10" t="s">
        <v>88</v>
      </c>
      <c r="H10" s="1">
        <v>5</v>
      </c>
      <c r="I10" t="s">
        <v>89</v>
      </c>
    </row>
    <row r="11" spans="2:13" x14ac:dyDescent="0.25">
      <c r="B11" s="1">
        <v>5</v>
      </c>
      <c r="C11" t="s">
        <v>69</v>
      </c>
      <c r="E11" s="1">
        <v>5</v>
      </c>
      <c r="F11" t="s">
        <v>91</v>
      </c>
      <c r="H11" s="1">
        <v>6</v>
      </c>
      <c r="I11" t="s">
        <v>90</v>
      </c>
    </row>
    <row r="12" spans="2:13" x14ac:dyDescent="0.25">
      <c r="B12" s="1">
        <v>7</v>
      </c>
      <c r="C12" t="s">
        <v>70</v>
      </c>
      <c r="E12" s="1">
        <v>6</v>
      </c>
      <c r="F12" t="s">
        <v>71</v>
      </c>
      <c r="H12" s="1">
        <v>7</v>
      </c>
      <c r="I12" t="s">
        <v>70</v>
      </c>
    </row>
    <row r="13" spans="2:13" x14ac:dyDescent="0.25">
      <c r="B13" s="1">
        <v>11</v>
      </c>
      <c r="E13" s="1">
        <v>11</v>
      </c>
      <c r="H13" s="1">
        <v>11</v>
      </c>
    </row>
    <row r="14" spans="2:13" x14ac:dyDescent="0.25">
      <c r="C14" s="7" t="s">
        <v>30</v>
      </c>
      <c r="F14" s="7" t="s">
        <v>37</v>
      </c>
      <c r="I14" s="7" t="s">
        <v>44</v>
      </c>
    </row>
    <row r="15" spans="2:13" x14ac:dyDescent="0.25">
      <c r="B15" s="1">
        <v>0</v>
      </c>
      <c r="C15" t="s">
        <v>72</v>
      </c>
      <c r="E15" s="1">
        <v>0</v>
      </c>
      <c r="F15" t="s">
        <v>72</v>
      </c>
      <c r="H15" s="1">
        <v>0</v>
      </c>
      <c r="I15" t="s">
        <v>67</v>
      </c>
    </row>
    <row r="16" spans="2:13" x14ac:dyDescent="0.25">
      <c r="B16" s="1">
        <v>3</v>
      </c>
      <c r="C16" t="s">
        <v>92</v>
      </c>
      <c r="E16" s="1">
        <v>3</v>
      </c>
      <c r="F16" t="s">
        <v>92</v>
      </c>
      <c r="H16" s="1">
        <v>4</v>
      </c>
      <c r="I16" t="s">
        <v>88</v>
      </c>
    </row>
    <row r="17" spans="2:9" x14ac:dyDescent="0.25">
      <c r="B17" s="1">
        <v>4</v>
      </c>
      <c r="C17" t="s">
        <v>73</v>
      </c>
      <c r="E17" s="1">
        <v>4</v>
      </c>
      <c r="F17" t="s">
        <v>93</v>
      </c>
      <c r="H17" s="1">
        <v>5</v>
      </c>
      <c r="I17" t="s">
        <v>91</v>
      </c>
    </row>
    <row r="18" spans="2:9" x14ac:dyDescent="0.25">
      <c r="B18" s="1">
        <v>6</v>
      </c>
      <c r="C18" t="s">
        <v>71</v>
      </c>
      <c r="E18" s="1">
        <v>5</v>
      </c>
      <c r="F18" t="s">
        <v>74</v>
      </c>
      <c r="H18" s="1">
        <v>6</v>
      </c>
      <c r="I18" t="s">
        <v>71</v>
      </c>
    </row>
    <row r="19" spans="2:9" x14ac:dyDescent="0.25">
      <c r="B19" s="1">
        <v>11</v>
      </c>
      <c r="E19" s="1">
        <v>11</v>
      </c>
      <c r="H19" s="1">
        <v>11</v>
      </c>
    </row>
    <row r="20" spans="2:9" x14ac:dyDescent="0.25">
      <c r="C20" s="7" t="s">
        <v>31</v>
      </c>
      <c r="F20" s="7" t="s">
        <v>38</v>
      </c>
      <c r="I20" s="7" t="s">
        <v>45</v>
      </c>
    </row>
    <row r="21" spans="2:9" x14ac:dyDescent="0.25">
      <c r="B21" s="1">
        <v>0</v>
      </c>
      <c r="C21" t="s">
        <v>75</v>
      </c>
      <c r="E21" s="1">
        <v>0</v>
      </c>
      <c r="F21" t="s">
        <v>75</v>
      </c>
      <c r="H21" s="1">
        <v>0</v>
      </c>
      <c r="I21" t="s">
        <v>75</v>
      </c>
    </row>
    <row r="22" spans="2:9" x14ac:dyDescent="0.25">
      <c r="B22" s="1">
        <v>6</v>
      </c>
      <c r="C22" t="s">
        <v>76</v>
      </c>
      <c r="E22" s="1">
        <v>6</v>
      </c>
      <c r="F22" t="s">
        <v>76</v>
      </c>
      <c r="H22" s="1">
        <v>6</v>
      </c>
      <c r="I22" t="s">
        <v>96</v>
      </c>
    </row>
    <row r="23" spans="2:9" x14ac:dyDescent="0.25">
      <c r="B23" s="1">
        <v>8</v>
      </c>
      <c r="C23" t="s">
        <v>94</v>
      </c>
      <c r="E23" s="1">
        <v>8</v>
      </c>
      <c r="F23" t="s">
        <v>94</v>
      </c>
      <c r="H23" s="1">
        <v>7</v>
      </c>
      <c r="I23" t="s">
        <v>95</v>
      </c>
    </row>
    <row r="24" spans="2:9" x14ac:dyDescent="0.25">
      <c r="B24" s="1">
        <v>9</v>
      </c>
      <c r="C24" t="s">
        <v>77</v>
      </c>
      <c r="E24" s="1">
        <v>9</v>
      </c>
      <c r="F24" t="s">
        <v>77</v>
      </c>
      <c r="H24" s="1">
        <v>8</v>
      </c>
      <c r="I24" t="s">
        <v>78</v>
      </c>
    </row>
    <row r="25" spans="2:9" x14ac:dyDescent="0.25">
      <c r="B25" s="1">
        <v>11</v>
      </c>
      <c r="E25" s="1">
        <v>11</v>
      </c>
      <c r="H25" s="1">
        <v>11</v>
      </c>
    </row>
    <row r="26" spans="2:9" x14ac:dyDescent="0.25">
      <c r="C26" s="7" t="s">
        <v>32</v>
      </c>
      <c r="F26" s="7" t="s">
        <v>39</v>
      </c>
      <c r="I26" s="7" t="s">
        <v>46</v>
      </c>
    </row>
    <row r="27" spans="2:9" x14ac:dyDescent="0.25">
      <c r="B27" s="1">
        <v>0</v>
      </c>
      <c r="C27" t="s">
        <v>72</v>
      </c>
      <c r="E27" s="1">
        <v>0</v>
      </c>
      <c r="F27" t="s">
        <v>72</v>
      </c>
      <c r="H27" s="1">
        <v>0</v>
      </c>
      <c r="I27" t="s">
        <v>72</v>
      </c>
    </row>
    <row r="28" spans="2:9" x14ac:dyDescent="0.25">
      <c r="B28" s="1">
        <v>3</v>
      </c>
      <c r="C28" t="s">
        <v>92</v>
      </c>
      <c r="E28" s="1">
        <v>3</v>
      </c>
      <c r="F28" t="s">
        <v>79</v>
      </c>
      <c r="H28" s="1">
        <v>3</v>
      </c>
      <c r="I28" t="s">
        <v>92</v>
      </c>
    </row>
    <row r="29" spans="2:9" x14ac:dyDescent="0.25">
      <c r="B29" s="1">
        <v>4</v>
      </c>
      <c r="C29" t="s">
        <v>93</v>
      </c>
      <c r="E29" s="1">
        <v>5</v>
      </c>
      <c r="F29" t="s">
        <v>91</v>
      </c>
      <c r="H29" s="1">
        <v>4</v>
      </c>
      <c r="I29" t="s">
        <v>93</v>
      </c>
    </row>
    <row r="30" spans="2:9" x14ac:dyDescent="0.25">
      <c r="B30" s="1">
        <v>5</v>
      </c>
      <c r="C30" t="s">
        <v>74</v>
      </c>
      <c r="E30" s="1">
        <v>6</v>
      </c>
      <c r="F30" t="s">
        <v>71</v>
      </c>
      <c r="H30" s="1">
        <v>5</v>
      </c>
      <c r="I30" t="s">
        <v>74</v>
      </c>
    </row>
    <row r="31" spans="2:9" x14ac:dyDescent="0.25">
      <c r="B31" s="1">
        <v>11</v>
      </c>
      <c r="E31" s="1">
        <v>11</v>
      </c>
      <c r="H31" s="1">
        <v>11</v>
      </c>
    </row>
    <row r="32" spans="2:9" x14ac:dyDescent="0.25">
      <c r="C32" s="7" t="s">
        <v>33</v>
      </c>
      <c r="F32" s="7" t="s">
        <v>40</v>
      </c>
      <c r="I32" s="7" t="s">
        <v>47</v>
      </c>
    </row>
    <row r="33" spans="2:9" x14ac:dyDescent="0.25">
      <c r="B33" s="1">
        <v>0</v>
      </c>
      <c r="C33" t="s">
        <v>80</v>
      </c>
      <c r="E33" s="1">
        <v>0</v>
      </c>
      <c r="F33" t="s">
        <v>81</v>
      </c>
      <c r="H33" s="1">
        <v>0</v>
      </c>
      <c r="I33" t="s">
        <v>82</v>
      </c>
    </row>
    <row r="34" spans="2:9" x14ac:dyDescent="0.25">
      <c r="B34" s="1">
        <v>6</v>
      </c>
      <c r="C34" t="s">
        <v>97</v>
      </c>
      <c r="E34" s="1">
        <v>4</v>
      </c>
      <c r="F34" t="s">
        <v>99</v>
      </c>
      <c r="H34" s="1">
        <v>5</v>
      </c>
      <c r="I34" t="s">
        <v>101</v>
      </c>
    </row>
    <row r="35" spans="2:9" x14ac:dyDescent="0.25">
      <c r="B35" s="1">
        <v>7</v>
      </c>
      <c r="C35" t="s">
        <v>98</v>
      </c>
      <c r="E35" s="1">
        <v>5</v>
      </c>
      <c r="F35" t="s">
        <v>100</v>
      </c>
      <c r="H35" s="1">
        <v>6</v>
      </c>
      <c r="I35" t="s">
        <v>102</v>
      </c>
    </row>
    <row r="36" spans="2:9" x14ac:dyDescent="0.25">
      <c r="B36" s="1">
        <v>8</v>
      </c>
      <c r="C36" t="s">
        <v>83</v>
      </c>
      <c r="E36" s="1">
        <v>6</v>
      </c>
      <c r="F36" t="s">
        <v>84</v>
      </c>
      <c r="H36" s="1">
        <v>7</v>
      </c>
      <c r="I36" t="s">
        <v>85</v>
      </c>
    </row>
    <row r="37" spans="2:9" x14ac:dyDescent="0.25">
      <c r="B37" s="1">
        <v>11</v>
      </c>
      <c r="E37" s="1">
        <v>11</v>
      </c>
      <c r="H37" s="1">
        <v>11</v>
      </c>
    </row>
    <row r="38" spans="2:9" x14ac:dyDescent="0.25">
      <c r="C38" s="7" t="s">
        <v>34</v>
      </c>
      <c r="F38" s="7" t="s">
        <v>41</v>
      </c>
      <c r="I38" s="7" t="s">
        <v>48</v>
      </c>
    </row>
    <row r="39" spans="2:9" x14ac:dyDescent="0.25">
      <c r="B39" s="1">
        <v>0</v>
      </c>
      <c r="C39" t="s">
        <v>105</v>
      </c>
      <c r="E39" s="1">
        <v>0</v>
      </c>
      <c r="F39" t="s">
        <v>105</v>
      </c>
      <c r="H39" s="1">
        <v>0</v>
      </c>
      <c r="I39" t="s">
        <v>105</v>
      </c>
    </row>
    <row r="40" spans="2:9" x14ac:dyDescent="0.25">
      <c r="B40" s="1">
        <v>1</v>
      </c>
      <c r="C40" t="s">
        <v>103</v>
      </c>
      <c r="E40" s="1">
        <v>1</v>
      </c>
      <c r="F40" t="s">
        <v>103</v>
      </c>
      <c r="H40" s="1">
        <v>1</v>
      </c>
      <c r="I40" t="s">
        <v>103</v>
      </c>
    </row>
    <row r="41" spans="2:9" x14ac:dyDescent="0.25">
      <c r="B41" s="1">
        <v>2</v>
      </c>
      <c r="C41" t="s">
        <v>104</v>
      </c>
      <c r="E41" s="1">
        <v>2</v>
      </c>
      <c r="F41" t="s">
        <v>104</v>
      </c>
      <c r="H41" s="1">
        <v>2</v>
      </c>
      <c r="I41" t="s">
        <v>104</v>
      </c>
    </row>
    <row r="42" spans="2:9" x14ac:dyDescent="0.25">
      <c r="B42" s="1">
        <v>3</v>
      </c>
      <c r="C42" t="s">
        <v>86</v>
      </c>
      <c r="E42" s="1">
        <v>3</v>
      </c>
      <c r="F42" t="s">
        <v>87</v>
      </c>
      <c r="H42" s="1">
        <v>3</v>
      </c>
      <c r="I42" t="s">
        <v>86</v>
      </c>
    </row>
    <row r="43" spans="2:9" x14ac:dyDescent="0.25">
      <c r="B43" s="1">
        <v>11</v>
      </c>
      <c r="E43" s="1">
        <v>7</v>
      </c>
      <c r="H43" s="1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22</vt:i4>
      </vt:variant>
    </vt:vector>
  </HeadingPairs>
  <TitlesOfParts>
    <vt:vector size="24" baseType="lpstr">
      <vt:lpstr>Questionnaire</vt:lpstr>
      <vt:lpstr>Results</vt:lpstr>
      <vt:lpstr>drop_comp</vt:lpstr>
      <vt:lpstr>p_cp</vt:lpstr>
      <vt:lpstr>p_ep</vt:lpstr>
      <vt:lpstr>p_hy</vt:lpstr>
      <vt:lpstr>p_im</vt:lpstr>
      <vt:lpstr>p_pp</vt:lpstr>
      <vt:lpstr>p_pr</vt:lpstr>
      <vt:lpstr>p_td</vt:lpstr>
      <vt:lpstr>s_cp</vt:lpstr>
      <vt:lpstr>s_ep</vt:lpstr>
      <vt:lpstr>s_hy</vt:lpstr>
      <vt:lpstr>s_im</vt:lpstr>
      <vt:lpstr>s_pp</vt:lpstr>
      <vt:lpstr>s_pr</vt:lpstr>
      <vt:lpstr>s_td</vt:lpstr>
      <vt:lpstr>t_cp</vt:lpstr>
      <vt:lpstr>t_ep</vt:lpstr>
      <vt:lpstr>t_hy</vt:lpstr>
      <vt:lpstr>t_im</vt:lpstr>
      <vt:lpstr>t_pp</vt:lpstr>
      <vt:lpstr>t_pr</vt:lpstr>
      <vt:lpstr>t_td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Jinks</dc:creator>
  <cp:lastModifiedBy>localprofile</cp:lastModifiedBy>
  <cp:lastPrinted>2017-05-18T12:47:26Z</cp:lastPrinted>
  <dcterms:created xsi:type="dcterms:W3CDTF">2017-03-15T14:03:58Z</dcterms:created>
  <dcterms:modified xsi:type="dcterms:W3CDTF">2018-03-12T11:55:50Z</dcterms:modified>
</cp:coreProperties>
</file>